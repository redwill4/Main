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napshot" sheetId="1" state="visible" r:id="rId3"/>
    <sheet name="EBITDAR Bridge" sheetId="2" state="visible" r:id="rId4"/>
    <sheet name="100-Day Plan" sheetId="3" state="visible" r:id="rId5"/>
    <sheet name="Week-by-Wee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<sst xmlns="http://schemas.openxmlformats.org/spreadsheetml/2006/main" count="418" uniqueCount="325">
  <si>
    <t xml:space="preserve">Cherrelyn — Financial Snapshot</t>
  </si>
  <si>
    <t xml:space="preserve">Source: Colorado 7-Pack P&amp;L, trailing 12 months (Mar 2025–Feb 2026), accrual basis.</t>
  </si>
  <si>
    <t xml:space="preserve">Profit &amp; Loss</t>
  </si>
  <si>
    <t xml:space="preserve">Total Revenue</t>
  </si>
  <si>
    <t xml:space="preserve">Total Operating Expense</t>
  </si>
  <si>
    <t xml:space="preserve">Adjusted EBITDA (before management fee)</t>
  </si>
  <si>
    <t xml:space="preserve">Management Fee</t>
  </si>
  <si>
    <t xml:space="preserve">EBITDAR (rent-coverage pool)</t>
  </si>
  <si>
    <t xml:space="preserve">Depreciation &amp; Amortization</t>
  </si>
  <si>
    <t xml:space="preserve">Net Income</t>
  </si>
  <si>
    <t xml:space="preserve">Gross Room &amp; Board by Payer  (skilled mix is the lever)</t>
  </si>
  <si>
    <t xml:space="preserve">Payer</t>
  </si>
  <si>
    <t xml:space="preserve">Gross R&amp;B $</t>
  </si>
  <si>
    <t xml:space="preserve">% of R&amp;B</t>
  </si>
  <si>
    <t xml:space="preserve">Medicaid (incl. settlement)</t>
  </si>
  <si>
    <t xml:space="preserve">Private</t>
  </si>
  <si>
    <t xml:space="preserve">Hospice</t>
  </si>
  <si>
    <t xml:space="preserve">Medicare A</t>
  </si>
  <si>
    <t xml:space="preserve">Medicare Advantage (HMO)</t>
  </si>
  <si>
    <t xml:space="preserve">TOTAL gross R&amp;B</t>
  </si>
  <si>
    <t xml:space="preserve">Skilled mix (Medicare A + MA) ≈ 8%  — industry healthy = 15–25%.</t>
  </si>
  <si>
    <t xml:space="preserve">Cost &amp; Risk Flags</t>
  </si>
  <si>
    <t xml:space="preserve">Total clinical/nursing dept expense</t>
  </si>
  <si>
    <t xml:space="preserve">72% of opex; CNA labor alone $3.84M</t>
  </si>
  <si>
    <t xml:space="preserve">Director-level overtime (RN+LPN dir)</t>
  </si>
  <si>
    <t xml:space="preserve">Signals open positions / unstable scheduling</t>
  </si>
  <si>
    <t xml:space="preserve">Bad debt expense</t>
  </si>
  <si>
    <t xml:space="preserve">~1.8% of revenue; Medicaid-pending conversion</t>
  </si>
  <si>
    <t xml:space="preserve">MDS RN labor</t>
  </si>
  <si>
    <t xml:space="preserve">Thin vs $20M+ Medicaid; case-mix accuracy = rate</t>
  </si>
  <si>
    <t xml:space="preserve">Respiratory/O2 revenue</t>
  </si>
  <si>
    <t xml:space="preserve">Specialty asset — leverage for skilled referrals</t>
  </si>
  <si>
    <t xml:space="preserve">KNOWN (from acquisition due-diligence 'Sheet1'):</t>
  </si>
  <si>
    <t xml:space="preserve">   • 190 licensed beds; 173 occupied = 91% occupancy (~17 empty beds)</t>
  </si>
  <si>
    <t xml:space="preserve">   • Skilled mix 7.3%  •  Turnover 37.4% (below 44.4% national avg)</t>
  </si>
  <si>
    <t xml:space="preserve">   • CMS Overall 4-star (Health Insp 4 / QM 3 / PBJ-Staffing 2)</t>
  </si>
  <si>
    <t xml:space="preserve">   • Medicaid: $0 P4P, ~$19 ppd acuity adj. removed in model, $10 ppd high-utilization add-on</t>
  </si>
  <si>
    <t xml:space="preserve">STILL CONFIRM DAY ONE:</t>
  </si>
  <si>
    <t xml:space="preserve">   • Last full survey date &amp; 2567 results</t>
  </si>
  <si>
    <t xml:space="preserve">   • Agency/contract labor usage</t>
  </si>
  <si>
    <t xml:space="preserve">   • Actual Part B respiratory collection rate</t>
  </si>
  <si>
    <t xml:space="preserve">   • CHOW / new-system cutover date &amp; owner</t>
  </si>
  <si>
    <t xml:space="preserve">REVISED FROM THE FULL ACQUISITION P&amp;L  —  8/30/26  (601ch, Mar25–Feb26, accrual)</t>
  </si>
  <si>
    <t xml:space="preserve">The snapshot above reconciles exactly to the GL. What the line-level detail changes:</t>
  </si>
  <si>
    <t xml:space="preserve">1. Part B respiratory is ACCELERATING — the TTM basis understates the Day-1 exit</t>
  </si>
  <si>
    <t xml:space="preserve">   Gross 4543-0040, Sep 2025</t>
  </si>
  <si>
    <t xml:space="preserve">   Gross 4543-0040, Feb 2026</t>
  </si>
  <si>
    <t xml:space="preserve">   Growth over 5 months</t>
  </si>
  <si>
    <t xml:space="preserve">No corresponding change in census.</t>
  </si>
  <si>
    <t xml:space="preserve">   TTM monthly average</t>
  </si>
  <si>
    <t xml:space="preserve">A level not seen since December.</t>
  </si>
  <si>
    <t xml:space="preserve">   Net forgone — TTM basis (what the model carries)</t>
  </si>
  <si>
    <t xml:space="preserve">   Net forgone — Jan/Feb run-rate basis</t>
  </si>
  <si>
    <t xml:space="preserve">   Understatement</t>
  </si>
  <si>
    <t xml:space="preserve">Larger than the entire overtime lever.</t>
  </si>
  <si>
    <t xml:space="preserve">   Blended Part B realization H1 vs H2</t>
  </si>
  <si>
    <t xml:space="preserve">42.3% / 42.1%</t>
  </si>
  <si>
    <t xml:space="preserve">Rate is stable — the basis is the problem, not the rate.</t>
  </si>
  <si>
    <t xml:space="preserve">2. Overtime base is 5.8x the figure this plan named</t>
  </si>
  <si>
    <t xml:space="preserve">   Director OT (5111+5140) — as stated above</t>
  </si>
  <si>
    <t xml:space="preserve">   Building-wide OT, all 24 departments</t>
  </si>
  <si>
    <t xml:space="preserve">   Director OT as share of the real base</t>
  </si>
  <si>
    <t xml:space="preserve">   CNA overtime alone (largest single line)</t>
  </si>
  <si>
    <t xml:space="preserve">   Building OT % of worked payroll</t>
  </si>
  <si>
    <t xml:space="preserve">Confirms the 11.3% stated in diligence.</t>
  </si>
  <si>
    <t xml:space="preserve">   Nursing OT % of nursing worked payroll</t>
  </si>
  <si>
    <t xml:space="preserve">Confirms the 15.3% stated in diligence.</t>
  </si>
  <si>
    <t xml:space="preserve">   Agency / contract-nursing accounts in the GL</t>
  </si>
  <si>
    <t xml:space="preserve">NONE</t>
  </si>
  <si>
    <t xml:space="preserve">Overtime IS how this building flexes. Cutting OT without filling vacancies re-emerges as agency spend.</t>
  </si>
  <si>
    <t xml:space="preserve">3. Skilled mix — already past the model's Upside case</t>
  </si>
  <si>
    <t xml:space="preserve">   Skilled ADC embedded in the P&amp;L year</t>
  </si>
  <si>
    <t xml:space="preserve">   Skilled ADC, 2026 Q1 actual</t>
  </si>
  <si>
    <t xml:space="preserve">   Incremental ADC already won</t>
  </si>
  <si>
    <t xml:space="preserve">Model Upside assumed +6. Skilled mix 7.8% (P&amp;L yr) → 12.3% (2026 YTD).</t>
  </si>
  <si>
    <t xml:space="preserve">   Break-even ADC to offset Part B at run-rate</t>
  </si>
  <si>
    <t xml:space="preserve">GAP OF 2.7 ADC (~$256K/yr). Under the old TTM math break-even was 5.1 and this was covered twice over.</t>
  </si>
  <si>
    <t xml:space="preserve">4. New lever this plan omits — Medicaid case-mix capture (CO135, 10/1/25)</t>
  </si>
  <si>
    <t xml:space="preserve">   Residents on the listing / average CMI</t>
  </si>
  <si>
    <t xml:space="preserve">162  /  1.7143</t>
  </si>
  <si>
    <t xml:space="preserve">   Residents below a 1.20 index</t>
  </si>
  <si>
    <t xml:space="preserve">   Medicaid days per year</t>
  </si>
  <si>
    <t xml:space="preserve">   MDS RN labor (5112) against a $20M+ Medicaid book</t>
  </si>
  <si>
    <t xml:space="preserve">   Illustrative value of +0.05 CMI</t>
  </si>
  <si>
    <t xml:space="preserve">PLACEHOLDER — needs the Colorado nursing-component rate. Do not bank.</t>
  </si>
  <si>
    <t xml:space="preserve">5. Risks now quantified</t>
  </si>
  <si>
    <t xml:space="preserve">   Private-pay erosion (4,795 days CY23 → 3,529 TTM)</t>
  </si>
  <si>
    <t xml:space="preserve">Masked by Medicaid backfill; occupancy never moved.</t>
  </si>
  <si>
    <t xml:space="preserve">   Survey: 2567 of 1/30/25 — 5 tags, F880 infection control at E</t>
  </si>
  <si>
    <t xml:space="preserve">OVERDUE</t>
  </si>
  <si>
    <t xml:space="preserve">Recert 19 months out vs a 9–15 month cycle. An admissions hold hits the skilled census this plan depends on.</t>
  </si>
  <si>
    <t xml:space="preserve">   Turnover conflict — profile 37.4% vs prior plan 61%</t>
  </si>
  <si>
    <t xml:space="preserve">RECONCILE</t>
  </si>
  <si>
    <t xml:space="preserve">The OT case rests on which is true: 37% = scheduling problem, 61% = retention problem.</t>
  </si>
  <si>
    <t xml:space="preserve">   Rate assumption: implied Medicare A $383/day vs Medicaid $393/day</t>
  </si>
  <si>
    <t xml:space="preserve">Model assumes a $400 differential. Confirm real CO rates — the largest single lever depends on it.</t>
  </si>
  <si>
    <t xml:space="preserve">STILL CONFIRM DAY ONE (revised)</t>
  </si>
  <si>
    <t xml:space="preserve">   • Colorado rate sheet: Medicare A / Managed Care / Medicaid per diems + nursing-component rate per CMI point</t>
  </si>
  <si>
    <t xml:space="preserve">   • Actual cash collected on 4543-0040 separated from therapy Part B (42.2% is a blended Part B rate)</t>
  </si>
  <si>
    <t xml:space="preserve">   • Scope decision in writing: respiratory Part B only, or all Part B (therapy Part B = $1,198,390 gross / ~$505,700 net)</t>
  </si>
  <si>
    <t xml:space="preserve">   • Respiratory therapy wind-down cost — severance is excluded from every scenario</t>
  </si>
  <si>
    <t xml:space="preserve">   • Payroll/termination report to settle 37.4% vs 61% turnover</t>
  </si>
  <si>
    <t xml:space="preserve">   • A/R aging behind the $442,677 bad-debt line</t>
  </si>
  <si>
    <t xml:space="preserve">Cherrelyn — EBITDAR Bridge (revised)</t>
  </si>
  <si>
    <t xml:space="preserve">Part B priced off the Jan–Feb 2026 run-rate rather than the TTM average. Skilled-mix lever restated to census already achieved. Case-mix lever added.</t>
  </si>
  <si>
    <t xml:space="preserve">Driver</t>
  </si>
  <si>
    <t xml:space="preserve">Conservative</t>
  </si>
  <si>
    <t xml:space="preserve">Base</t>
  </si>
  <si>
    <t xml:space="preserve">Upside</t>
  </si>
  <si>
    <t xml:space="preserve">Basis</t>
  </si>
  <si>
    <t xml:space="preserve">Baseline EBITDAR (TTM per P&amp;L)</t>
  </si>
  <si>
    <t xml:space="preserve">6100-9999</t>
  </si>
  <si>
    <t xml:space="preserve">Part B respiratory net forgone</t>
  </si>
  <si>
    <t xml:space="preserve">3-month / Jan-Feb run-rate gross × 42.2%</t>
  </si>
  <si>
    <t xml:space="preserve">Respiratory therapy labor offset</t>
  </si>
  <si>
    <t xml:space="preserve">60 / 72 / 80% of 5113 labor $347,318</t>
  </si>
  <si>
    <t xml:space="preserve">Overtime reduction</t>
  </si>
  <si>
    <t xml:space="preserve">11 / 18 / 26% of the $1,355,761 OT base</t>
  </si>
  <si>
    <t xml:space="preserve">Skilled mix — hold the recovery</t>
  </si>
  <si>
    <t xml:space="preserve">50 / 75 / 100% of the +8.6 ADC already won</t>
  </si>
  <si>
    <t xml:space="preserve">Medicaid case-mix capture</t>
  </si>
  <si>
    <t xml:space="preserve">+0.05 CMI illustrative — rate unconfirmed</t>
  </si>
  <si>
    <t xml:space="preserve">Total EBITDAR change</t>
  </si>
  <si>
    <t xml:space="preserve">PRO FORMA EBITDAR</t>
  </si>
  <si>
    <t xml:space="preserve">Original model, same case</t>
  </si>
  <si>
    <t xml:space="preserve">From the EBITDAR Impact Model as received.</t>
  </si>
  <si>
    <t xml:space="preserve">Difference (effect of repricing Part B)</t>
  </si>
  <si>
    <t xml:space="preserve">BREAK-EVEN CHECK</t>
  </si>
  <si>
    <t xml:space="preserve">EBITDAR per added skilled ADC</t>
  </si>
  <si>
    <t xml:space="preserve">$400 differential × 365 × 65% margin. RATE UNCONFIRMED.</t>
  </si>
  <si>
    <t xml:space="preserve">Skilled ADC needed to offset the Part B exit</t>
  </si>
  <si>
    <t xml:space="preserve">Base case, net of the RT labor offset.</t>
  </si>
  <si>
    <t xml:space="preserve">Skilled ADC already achieved</t>
  </si>
  <si>
    <t xml:space="preserve">2026 Q1 (22.0) less the P&amp;L-year baseline (13.4).</t>
  </si>
  <si>
    <t xml:space="preserve">GAP</t>
  </si>
  <si>
    <t xml:space="preserve">What overtime and case-mix capture exist to close.</t>
  </si>
  <si>
    <t xml:space="preserve">Cherrelyn — Executive Director 100-Day Plan</t>
  </si>
  <si>
    <t xml:space="preserve">Priorities derived from the P&amp;L. Phased: Listen &amp; Stabilize → Diagnose &amp; Quick Wins → Execute &amp; Lock-In.</t>
  </si>
  <si>
    <t xml:space="preserve">Phase</t>
  </si>
  <si>
    <t xml:space="preserve">Workstream</t>
  </si>
  <si>
    <t xml:space="preserve">Priority</t>
  </si>
  <si>
    <t xml:space="preserve">Action</t>
  </si>
  <si>
    <t xml:space="preserve">Why (data driver)</t>
  </si>
  <si>
    <t xml:space="preserve">Success Metric</t>
  </si>
  <si>
    <t xml:space="preserve">Status</t>
  </si>
  <si>
    <t xml:space="preserve">EBITDAR Impact ($/yr)</t>
  </si>
  <si>
    <t xml:space="preserve">Days 1–30
Listen &amp; Stabilize</t>
  </si>
  <si>
    <t xml:space="preserve">Transition / CHOW</t>
  </si>
  <si>
    <t xml:space="preserve">High</t>
  </si>
  <si>
    <t xml:space="preserve">Confirm CHOW status: license, Medicare/Medicaid provider agreements, bank/payroll/AP/AR cutover, vendor novation. Build a cutover checklist with owners.</t>
  </si>
  <si>
    <t xml:space="preserve">File is a GL re-mapping for new ownership — conversion risk is live</t>
  </si>
  <si>
    <t xml:space="preserve">Zero payroll/billing disruptions; signed cutover checklist</t>
  </si>
  <si>
    <t xml:space="preserve">Not started</t>
  </si>
  <si>
    <t xml:space="preserve">CHOW — protects all of it</t>
  </si>
  <si>
    <t xml:space="preserve">People &amp; Team</t>
  </si>
  <si>
    <t xml:space="preserve">Meet every IDT lead 1:1; assess DON/MDS/Therapy/Business Office. Identify open positions and flight risks.</t>
  </si>
  <si>
    <t xml:space="preserve">Director OT $234K signals instability/vacancies</t>
  </si>
  <si>
    <t xml:space="preserve">Org chart with vacancies + retention-risk read; stay conversations done</t>
  </si>
  <si>
    <t xml:space="preserve">Clinical &amp; Quality</t>
  </si>
  <si>
    <t xml:space="preserve">Pull CMS star rating, last survey 2567, QAPI, and current census/payer-mix report.</t>
  </si>
  <si>
    <t xml:space="preserve">Star rating &amp; beds/census not in file; drive referrals &amp; survey risk</t>
  </si>
  <si>
    <t xml:space="preserve">Baseline dashboard: census, payer mix, stars, deficiencies</t>
  </si>
  <si>
    <t xml:space="preserve">Financial / Rev Cycle</t>
  </si>
  <si>
    <t xml:space="preserve">Med</t>
  </si>
  <si>
    <t xml:space="preserve">Review AR aging, Medicaid-pending list, and private-pay collections with Business Office.</t>
  </si>
  <si>
    <t xml:space="preserve">Bad debt $443K (~1.8% rev)</t>
  </si>
  <si>
    <t xml:space="preserve">Medicaid-pending and &gt;90-day AR quantified</t>
  </si>
  <si>
    <t xml:space="preserve">Bad debt $442,677</t>
  </si>
  <si>
    <t xml:space="preserve">Census &amp; Payer Mix</t>
  </si>
  <si>
    <t xml:space="preserve">Map referral sources (hospitals, MA plans); learn why skilled admits are low.</t>
  </si>
  <si>
    <t xml:space="preserve">Skilled mix ~8% vs 15–25% target</t>
  </si>
  <si>
    <t xml:space="preserve">Referral-source list + barriers documented</t>
  </si>
  <si>
    <t xml:space="preserve">Skilled ADC worth $94,900 each</t>
  </si>
  <si>
    <t xml:space="preserve">Days 31–60
Diagnose &amp; Quick Wins</t>
  </si>
  <si>
    <t xml:space="preserve">Launch skilled-mix push: market the respiratory/pulmonary + in-house therapy capability to hospital case managers and MA plans.</t>
  </si>
  <si>
    <t xml:space="preserve">$2.4M resp/O2 revenue + full therapy = under-used skilled asset</t>
  </si>
  <si>
    <t xml:space="preserve">≥2 new/renewed referral relationships; skilled admits trending up</t>
  </si>
  <si>
    <t xml:space="preserve">$408K – $816K</t>
  </si>
  <si>
    <t xml:space="preserve">Stand up MDS/case-mix accuracy audit; tighten triple-check and ADL capture.</t>
  </si>
  <si>
    <t xml:space="preserve">MDS RN labor only $12K vs $20M+ Medicaid; case-mix = rate</t>
  </si>
  <si>
    <t xml:space="preserve">Case-mix index baseline + audit cadence; rate uplift identified</t>
  </si>
  <si>
    <t xml:space="preserve">$0 – $314K illustrative</t>
  </si>
  <si>
    <t xml:space="preserve">Attack overtime: schedule rebuild, fill key vacancies, reduce agency reliance.</t>
  </si>
  <si>
    <t xml:space="preserve">Director OT $234K; CNA labor $3.84M</t>
  </si>
  <si>
    <t xml:space="preserve">OT $ down vs baseline; vacancy rate down</t>
  </si>
  <si>
    <t xml:space="preserve">$150K – $350K</t>
  </si>
  <si>
    <t xml:space="preserve">Drive Medicaid-pending conversions and private-pay collection workflow.</t>
  </si>
  <si>
    <t xml:space="preserve">Bad debt $443K</t>
  </si>
  <si>
    <t xml:space="preserve">Pending backlog cut; bad-debt run-rate improving</t>
  </si>
  <si>
    <t xml:space="preserve">Address any survey deficiencies; verify QAPI is active; staff/family town halls.</t>
  </si>
  <si>
    <t xml:space="preserve">Stars gate MA contracts &amp; referral flow</t>
  </si>
  <si>
    <t xml:space="preserve">POC on track; town halls held</t>
  </si>
  <si>
    <t xml:space="preserve">Census protection</t>
  </si>
  <si>
    <t xml:space="preserve">Days 61–100
Execute &amp; Lock-In</t>
  </si>
  <si>
    <t xml:space="preserve">Formalize skilled-mix growth plan with targets; pursue/level-up MA contracts.</t>
  </si>
  <si>
    <t xml:space="preserve">2–3x Medicaid rate; biggest EBITDAR upside</t>
  </si>
  <si>
    <t xml:space="preserve">Skilled mix % target set &amp; climbing; MA contract progress</t>
  </si>
  <si>
    <t xml:space="preserve">Build the FY operating budget reflecting new ownership cost structure incl. rent/debt service vs EBITDAR.</t>
  </si>
  <si>
    <t xml:space="preserve">EBITDAR $2.6M is the rent-coverage pool post-acquisition</t>
  </si>
  <si>
    <t xml:space="preserve">Approved budget; rent/debt coverage modeled</t>
  </si>
  <si>
    <t xml:space="preserve">Rent coverage on $2.24M – $3.05M</t>
  </si>
  <si>
    <t xml:space="preserve">Lock leadership: succession/development for DON, MDS, Therapy, Business Office. Confirm incentive plans.</t>
  </si>
  <si>
    <t xml:space="preserve">Admin bonus $225K — align incentives to skilled mix &amp; OT goals</t>
  </si>
  <si>
    <t xml:space="preserve">Development plans + aligned incentive structure</t>
  </si>
  <si>
    <t xml:space="preserve">$225K bonus pool re-pointed</t>
  </si>
  <si>
    <t xml:space="preserve">Set quality roadmap to protect/raise star rating (key to MA &amp; referrals).</t>
  </si>
  <si>
    <t xml:space="preserve">Stars drive payer access</t>
  </si>
  <si>
    <t xml:space="preserve">Quality targets + owner per measure</t>
  </si>
  <si>
    <t xml:space="preserve">Leadership</t>
  </si>
  <si>
    <t xml:space="preserve">Publish 12-month strategic plan + KPI dashboard (census, skilled mix, OT, AR, stars, EBITDAR).</t>
  </si>
  <si>
    <t xml:space="preserve">Operationalize the data levers</t>
  </si>
  <si>
    <t xml:space="preserve">Live monthly KPI dashboard</t>
  </si>
  <si>
    <t xml:space="preserve">ADDED FROM FULL P&amp;L DILIGENCE — 8/30/26</t>
  </si>
  <si>
    <t xml:space="preserve">Financial / Part B</t>
  </si>
  <si>
    <t xml:space="preserve">CRITICAL</t>
  </si>
  <si>
    <t xml:space="preserve">Stop billing Medicare Part B respiratory (4543-0040) at close. Decide IN WRITING whether the exit covers therapy Part B (4544/4545/4546-0040) as well. Wind down RT labor against the 72% of respiratory revenue Part B represented; cost the severance.</t>
  </si>
  <si>
    <t xml:space="preserve">Gross billing tripled Sep 25 → Feb 26 ($93,700 → $284,775). TTM basis understates the exit by up to $589,176.</t>
  </si>
  <si>
    <t xml:space="preserve">Billing stopped Day 1; scope decision documented; wind-down plan costed</t>
  </si>
  <si>
    <t xml:space="preserve">($1.07M) net of RT offset</t>
  </si>
  <si>
    <t xml:space="preserve">Financial / Rate Confirmation</t>
  </si>
  <si>
    <t xml:space="preserve">Obtain the Colorado rate sheet: Medicare A, Managed Care and Medicaid per diems, plus nursing-component rate per case-mix point.</t>
  </si>
  <si>
    <t xml:space="preserve">Model assumes a $400/day differential; P&amp;L ÷ census days implies $383 Medicare A vs $393 Medicaid. The largest lever is unverified.</t>
  </si>
  <si>
    <t xml:space="preserve">Real per diems confirmed; bridge restated</t>
  </si>
  <si>
    <t xml:space="preserve">Validates $408K – $816K</t>
  </si>
  <si>
    <t xml:space="preserve">Schedule rebuild reaching the CNA line — $452,339 of OT sits there, a third of the building total. Fill the vacancies driving OT BEFORE cutting OT.</t>
  </si>
  <si>
    <t xml:space="preserve">Building OT is $1,355,761 across 24 departments — 5.8x the $234K director figure. No agency account exists in the GL.</t>
  </si>
  <si>
    <t xml:space="preserve">OT tracked weekly by department vs the $1.36M base</t>
  </si>
  <si>
    <t xml:space="preserve">Financial / Case Mix</t>
  </si>
  <si>
    <t xml:space="preserve">Chart-audit the 36 residents below a 1.20 case-mix index against ADL/Section GG, restorative and behavior coding. Resource the MDS function.</t>
  </si>
  <si>
    <t xml:space="preserve">CO135: 162 residents at 1.7143 avg; 22.2% below 1.20. MDS RN labor only $12,399/yr against 54,326 Medicaid days.</t>
  </si>
  <si>
    <t xml:space="preserve">Low-index cohort audited; CMI baseline + audit cadence set</t>
  </si>
  <si>
    <t xml:space="preserve">Diagnose private-pay erosion before setting a target: referral drift, rate position, or faster Medicaid conversion.</t>
  </si>
  <si>
    <t xml:space="preserve">Private days fell 4,795 (CY23) → 3,529 (TTM) = −1,266 days ≈ $514K at the $406 implied rate. Hidden by Medicaid backfill.</t>
  </si>
  <si>
    <t xml:space="preserve">Cause named; stabilization target set</t>
  </si>
  <si>
    <t xml:space="preserve">($514K) exposure</t>
  </si>
  <si>
    <t xml:space="preserve">Reinstate the F880 infection-control audit cadence (EBP gown/glove, pre-meal hand hygiene). Mock survey against all five 2567 tags by day 21.</t>
  </si>
  <si>
    <t xml:space="preserve">2567 of 1/30/25: 5 tags, F880 at scope E. Recert is 19 months out against a 9–15 month cycle — overdue.</t>
  </si>
  <si>
    <t xml:space="preserve">Mock survey complete; audit cadence live</t>
  </si>
  <si>
    <t xml:space="preserve">Protects the skilled census</t>
  </si>
  <si>
    <t xml:space="preserve">Rebuild the FY budget on the ACTUAL post-exit run-rate, not the TTM P&amp;L. Model rent and debt service against pro-forma EBITDAR of $2.24M–$3.05M, not the $2.62M baseline.</t>
  </si>
  <si>
    <t xml:space="preserve">Pro forma is $2,241,651 / $2,561,467 / $3,050,265 — the Base case is essentially flat to today.</t>
  </si>
  <si>
    <t xml:space="preserve">Approved budget; rent/debt coverage modeled on post-exit reality</t>
  </si>
  <si>
    <t xml:space="preserve">Coverage on $2.24M – $3.05M</t>
  </si>
  <si>
    <t xml:space="preserve">Cherrelyn — Week-by-Week 100-Day Calendar</t>
  </si>
  <si>
    <t xml:space="preserve">Start: Sat 8/1/2026  •  Day 100: Sun 11/8/2026  •  Cherrelyn = flagship of the acquisition.</t>
  </si>
  <si>
    <t xml:space="preserve">Week</t>
  </si>
  <si>
    <t xml:space="preserve">Dates (2026)</t>
  </si>
  <si>
    <t xml:space="preserve">Theme</t>
  </si>
  <si>
    <t xml:space="preserve">Key Actions</t>
  </si>
  <si>
    <t xml:space="preserve">Milestone / Deliverable</t>
  </si>
  <si>
    <t xml:space="preserve">Wk 1</t>
  </si>
  <si>
    <t xml:space="preserve">Aug 1–7</t>
  </si>
  <si>
    <t xml:space="preserve">Land &amp; secure the transition</t>
  </si>
  <si>
    <t xml:space="preserve">• Day-1 CHOW continuity check: payroll, billing, provider agreements, bank/AP/AR all live
• All-staff intro; walk every unit and every shift (incl. nights &amp; weekends)
• Meet DON day one; confirm clinical &amp; staffing status
• Pull baseline reports: census, payer mix, star rating, last survey 2567</t>
  </si>
  <si>
    <t xml:space="preserve">Cutover checklist with owners; zero payroll/billing disruption</t>
  </si>
  <si>
    <t xml:space="preserve">Wk 2</t>
  </si>
  <si>
    <t xml:space="preserve">Aug 8–14</t>
  </si>
  <si>
    <t xml:space="preserve">Meet the team</t>
  </si>
  <si>
    <t xml:space="preserve">• 1:1 with every IDT lead (DON, MDS, Therapy, Social Services, Business Office, Dietary, Maintenance, Activities, HR)
• Identify open positions &amp; flight risks; start stay conversations
• Review AR aging + Medicaid-pending list with Business Office
• Close out any lingering CHOW/system glitches</t>
  </si>
  <si>
    <t xml:space="preserve">Org chart w/ vacancies &amp; retention-risk read</t>
  </si>
  <si>
    <t xml:space="preserve">Wk 3</t>
  </si>
  <si>
    <t xml:space="preserve">Aug 15–21</t>
  </si>
  <si>
    <t xml:space="preserve">Clinical &amp; compliance baseline</t>
  </si>
  <si>
    <t xml:space="preserve">• Review QAPI, survey readiness, F-tag history; meet Medical Director
• Shadow MDS process; sit in on a triple-check / Medicare meeting
• Map referral sources (hospitals, MA plans); learn why skilled admits are low
• Confirm bed count &amp; occupancy; flag empty beds</t>
  </si>
  <si>
    <t xml:space="preserve">Baseline clinical dashboard + referral-source map</t>
  </si>
  <si>
    <t xml:space="preserve">Wk 4</t>
  </si>
  <si>
    <t xml:space="preserve">Aug 22–28</t>
  </si>
  <si>
    <t xml:space="preserve">30-day read-out</t>
  </si>
  <si>
    <t xml:space="preserve">• Synthesize findings into a baseline dashboard (census, payer mix, OT, AR, stars)
• Pick top 3 vacancies to fill; launch recruitment
• Finalize the quick-wins list</t>
  </si>
  <si>
    <t xml:space="preserve">30-day report to ownership/regional</t>
  </si>
  <si>
    <t xml:space="preserve">Wk 5</t>
  </si>
  <si>
    <t xml:space="preserve">Aug 29–Sep 4</t>
  </si>
  <si>
    <t xml:space="preserve">Attack overtime &amp; staffing</t>
  </si>
  <si>
    <t xml:space="preserve">• Rebuild schedules; cut director-level OT (~$234K) and agency reliance
• Fill priority vacancies
• Stand up a daily labor-management standup</t>
  </si>
  <si>
    <t xml:space="preserve">OT trending down vs baseline</t>
  </si>
  <si>
    <t xml:space="preserve">Wk 6</t>
  </si>
  <si>
    <t xml:space="preserve">Sep 5–11</t>
  </si>
  <si>
    <t xml:space="preserve">MDS / case-mix accuracy</t>
  </si>
  <si>
    <t xml:space="preserve">• Launch MDS audit; tighten ADL capture &amp; triple-check
• Establish case-mix index baseline; identify Medicaid rate uplift
• Resource the MDS function (it's thin vs $20M+ Medicaid)</t>
  </si>
  <si>
    <t xml:space="preserve">Case-mix baseline + audit cadence; rate uplift quantified</t>
  </si>
  <si>
    <t xml:space="preserve">Wk 7</t>
  </si>
  <si>
    <t xml:space="preserve">Sep 12–18</t>
  </si>
  <si>
    <t xml:space="preserve">Skilled-mix push I</t>
  </si>
  <si>
    <t xml:space="preserve">• Market respiratory/pulmonary + in-house therapy to hospital case managers
• Meet top referral sources in person
• Confirm clinical criteria/capability to accept higher acuity</t>
  </si>
  <si>
    <t xml:space="preserve">≥2 new/renewed referral relationships</t>
  </si>
  <si>
    <t xml:space="preserve">Wk 8</t>
  </si>
  <si>
    <t xml:space="preserve">Sep 19–25</t>
  </si>
  <si>
    <t xml:space="preserve">Revenue-cycle tightening</t>
  </si>
  <si>
    <t xml:space="preserve">• Drive Medicaid-pending conversions; fix private-pay collection workflow
• Review bad-debt run-rate ($443K baseline)
• AR &gt;90-day reduction plan</t>
  </si>
  <si>
    <t xml:space="preserve">Pending backlog cut; bad-debt improving</t>
  </si>
  <si>
    <t xml:space="preserve">Wk 9</t>
  </si>
  <si>
    <t xml:space="preserve">Sep 26–Oct 2</t>
  </si>
  <si>
    <t xml:space="preserve">Quality &amp; survey</t>
  </si>
  <si>
    <t xml:space="preserve">• Address any deficiencies; verify QAPI is active
• Hold staff &amp; family town halls
• Prepare 60-day read-out</t>
  </si>
  <si>
    <t xml:space="preserve">60-day report; POC on track</t>
  </si>
  <si>
    <t xml:space="preserve">Wk 10</t>
  </si>
  <si>
    <t xml:space="preserve">Oct 3–9</t>
  </si>
  <si>
    <t xml:space="preserve">Skilled-mix push II / MA contracts</t>
  </si>
  <si>
    <t xml:space="preserve">• Pursue / level-up Managed Care contracts
• Set a skilled-mix % target; track admits weekly
• Formalize referral relationships</t>
  </si>
  <si>
    <t xml:space="preserve">Skilled mix % target set &amp; climbing</t>
  </si>
  <si>
    <t xml:space="preserve">Wk 11</t>
  </si>
  <si>
    <t xml:space="preserve">Oct 10–16</t>
  </si>
  <si>
    <t xml:space="preserve">Build the FY budget</t>
  </si>
  <si>
    <t xml:space="preserve">• Build operating budget on the new ownership cost structure
• Model rent/debt service against EBITDAR ($2.6M coverage pool)</t>
  </si>
  <si>
    <t xml:space="preserve">Draft FY budget w/ rent/debt coverage</t>
  </si>
  <si>
    <t xml:space="preserve">Wk 12</t>
  </si>
  <si>
    <t xml:space="preserve">Oct 17–23</t>
  </si>
  <si>
    <t xml:space="preserve">Lock leadership</t>
  </si>
  <si>
    <t xml:space="preserve">• Development/succession plans for DON, MDS, Therapy, Business Office
• Align incentive/bonus plans (~$225K pool) to skilled-mix &amp; OT goals</t>
  </si>
  <si>
    <t xml:space="preserve">Development plans + aligned incentives</t>
  </si>
  <si>
    <t xml:space="preserve">Wk 13</t>
  </si>
  <si>
    <t xml:space="preserve">Oct 24–30</t>
  </si>
  <si>
    <t xml:space="preserve">Quality roadmap &amp; KPIs</t>
  </si>
  <si>
    <t xml:space="preserve">• Quality roadmap to protect/raise star rating; owner per measure
• Stand up a live monthly KPI dashboard</t>
  </si>
  <si>
    <t xml:space="preserve">Live KPI dashboard (census, skilled mix, OT, AR, stars, EBITDAR)</t>
  </si>
  <si>
    <t xml:space="preserve">Wk 14</t>
  </si>
  <si>
    <t xml:space="preserve">Oct 31–Nov 6</t>
  </si>
  <si>
    <t xml:space="preserve">12-month strategic plan</t>
  </si>
  <si>
    <t xml:space="preserve">• Publish the 12-month strategic plan
• Present to ownership</t>
  </si>
  <si>
    <t xml:space="preserve">Approved 12-month plan</t>
  </si>
  <si>
    <t xml:space="preserve">Wk 15</t>
  </si>
  <si>
    <t xml:space="preserve">Nov 7–8</t>
  </si>
  <si>
    <t xml:space="preserve">100-day milestone (Day 100 = Nov 8)</t>
  </si>
  <si>
    <t xml:space="preserve">• Final 100-day report: wins vs baseline
• Set next-quarter priorities</t>
  </si>
  <si>
    <t xml:space="preserve">100-day read-out delivered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</si>
</sst>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;&quot;($&quot;#,##0\)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6"/>
      <name val="Calibri"/>
      <family val="0"/>
      <charset val="1"/>
    </font>
    <font>
      <b val="true"/>
      <sz val="11"/>
      <color rgb="FFBF8F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BF7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21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24211360</v>
      </c>
      <c r="C5" s="6" t="n">
        <v>1</v>
      </c>
    </row>
    <row r="6" customFormat="false" ht="15" hidden="false" customHeight="false" outlineLevel="0" collapsed="false">
      <c r="A6" s="4" t="s">
        <v>4</v>
      </c>
      <c r="B6" s="5" t="n">
        <v>20302792</v>
      </c>
      <c r="C6" s="6" t="n">
        <v>0.839</v>
      </c>
    </row>
    <row r="7" customFormat="false" ht="15" hidden="false" customHeight="false" outlineLevel="0" collapsed="false">
      <c r="A7" s="4" t="s">
        <v>5</v>
      </c>
      <c r="B7" s="5" t="n">
        <v>3908569</v>
      </c>
      <c r="C7" s="6" t="n">
        <v>0.1614</v>
      </c>
    </row>
    <row r="8" customFormat="false" ht="15" hidden="false" customHeight="false" outlineLevel="0" collapsed="false">
      <c r="A8" s="4" t="s">
        <v>6</v>
      </c>
      <c r="B8" s="5" t="n">
        <v>1291699</v>
      </c>
      <c r="C8" s="6" t="n">
        <v>0.0534</v>
      </c>
    </row>
    <row r="9" customFormat="false" ht="15" hidden="false" customHeight="false" outlineLevel="0" collapsed="false">
      <c r="A9" s="4" t="s">
        <v>7</v>
      </c>
      <c r="B9" s="5" t="n">
        <v>2616869</v>
      </c>
      <c r="C9" s="6" t="n">
        <v>0.1081</v>
      </c>
    </row>
    <row r="10" customFormat="false" ht="15" hidden="false" customHeight="false" outlineLevel="0" collapsed="false">
      <c r="A10" s="4" t="s">
        <v>8</v>
      </c>
      <c r="B10" s="5" t="n">
        <v>443718</v>
      </c>
      <c r="C10" s="6" t="n">
        <v>0.0183</v>
      </c>
    </row>
    <row r="11" customFormat="false" ht="15" hidden="false" customHeight="false" outlineLevel="0" collapsed="false">
      <c r="A11" s="4" t="s">
        <v>9</v>
      </c>
      <c r="B11" s="5" t="n">
        <v>2154409</v>
      </c>
      <c r="C11" s="6" t="n">
        <v>0.089</v>
      </c>
    </row>
    <row r="13" customFormat="false" ht="15.75" hidden="false" customHeight="true" outlineLevel="0" collapsed="false">
      <c r="A13" s="3" t="s">
        <v>10</v>
      </c>
    </row>
    <row r="14" customFormat="false" ht="15" hidden="false" customHeight="false" outlineLevel="0" collapsed="false">
      <c r="A14" s="7" t="s">
        <v>11</v>
      </c>
      <c r="B14" s="7" t="s">
        <v>12</v>
      </c>
      <c r="C14" s="7" t="s">
        <v>13</v>
      </c>
    </row>
    <row r="15" customFormat="false" ht="15" hidden="false" customHeight="false" outlineLevel="0" collapsed="false">
      <c r="A15" s="4" t="s">
        <v>14</v>
      </c>
      <c r="B15" s="5" t="n">
        <v>21350667</v>
      </c>
      <c r="C15" s="6" t="n">
        <v>0.82966180272067</v>
      </c>
    </row>
    <row r="16" customFormat="false" ht="15" hidden="false" customHeight="false" outlineLevel="0" collapsed="false">
      <c r="A16" s="4" t="s">
        <v>15</v>
      </c>
      <c r="B16" s="5" t="n">
        <v>1433549</v>
      </c>
      <c r="C16" s="6" t="n">
        <v>0.055706027714657</v>
      </c>
    </row>
    <row r="17" customFormat="false" ht="15" hidden="false" customHeight="false" outlineLevel="0" collapsed="false">
      <c r="A17" s="4" t="s">
        <v>16</v>
      </c>
      <c r="B17" s="5" t="n">
        <v>972063</v>
      </c>
      <c r="C17" s="6" t="n">
        <v>0.03777322464624</v>
      </c>
    </row>
    <row r="18" customFormat="false" ht="15" hidden="false" customHeight="false" outlineLevel="0" collapsed="false">
      <c r="A18" s="4" t="s">
        <v>17</v>
      </c>
      <c r="B18" s="5" t="n">
        <v>1151080</v>
      </c>
      <c r="C18" s="6" t="n">
        <v>0.0447296146708535</v>
      </c>
    </row>
    <row r="19" customFormat="false" ht="15" hidden="false" customHeight="false" outlineLevel="0" collapsed="false">
      <c r="A19" s="4" t="s">
        <v>18</v>
      </c>
      <c r="B19" s="5" t="n">
        <v>826822</v>
      </c>
      <c r="C19" s="6" t="n">
        <v>0.0321293302475801</v>
      </c>
    </row>
    <row r="20" customFormat="false" ht="15" hidden="false" customHeight="false" outlineLevel="0" collapsed="false">
      <c r="A20" s="8" t="s">
        <v>19</v>
      </c>
      <c r="B20" s="5" t="n">
        <v>25734181</v>
      </c>
      <c r="C20" s="6" t="n">
        <v>1</v>
      </c>
    </row>
    <row r="21" customFormat="false" ht="15" hidden="false" customHeight="false" outlineLevel="0" collapsed="false">
      <c r="A21" s="2" t="s">
        <v>20</v>
      </c>
    </row>
    <row r="23" customFormat="false" ht="15.75" hidden="false" customHeight="true" outlineLevel="0" collapsed="false">
      <c r="A23" s="3" t="s">
        <v>21</v>
      </c>
    </row>
    <row r="24" customFormat="false" ht="15" hidden="false" customHeight="false" outlineLevel="0" collapsed="false">
      <c r="A24" s="4" t="s">
        <v>22</v>
      </c>
      <c r="B24" s="5" t="n">
        <v>14618652</v>
      </c>
      <c r="D24" s="4" t="s">
        <v>23</v>
      </c>
    </row>
    <row r="25" customFormat="false" ht="15" hidden="false" customHeight="false" outlineLevel="0" collapsed="false">
      <c r="A25" s="4" t="s">
        <v>24</v>
      </c>
      <c r="B25" s="5" t="n">
        <v>234288</v>
      </c>
      <c r="D25" s="4" t="s">
        <v>25</v>
      </c>
    </row>
    <row r="26" customFormat="false" ht="15" hidden="false" customHeight="false" outlineLevel="0" collapsed="false">
      <c r="A26" s="4" t="s">
        <v>26</v>
      </c>
      <c r="B26" s="5" t="n">
        <v>442677</v>
      </c>
      <c r="D26" s="4" t="s">
        <v>27</v>
      </c>
    </row>
    <row r="27" customFormat="false" ht="15" hidden="false" customHeight="false" outlineLevel="0" collapsed="false">
      <c r="A27" s="4" t="s">
        <v>28</v>
      </c>
      <c r="B27" s="5" t="n">
        <v>12399</v>
      </c>
      <c r="D27" s="4" t="s">
        <v>29</v>
      </c>
    </row>
    <row r="28" customFormat="false" ht="15" hidden="false" customHeight="false" outlineLevel="0" collapsed="false">
      <c r="A28" s="4" t="s">
        <v>30</v>
      </c>
      <c r="B28" s="5" t="n">
        <v>2416590</v>
      </c>
      <c r="D28" s="4" t="s">
        <v>31</v>
      </c>
    </row>
    <row r="30" customFormat="false" ht="15" hidden="false" customHeight="false" outlineLevel="0" collapsed="false">
      <c r="A30" s="9" t="s">
        <v>32</v>
      </c>
    </row>
    <row r="31" customFormat="false" ht="15" hidden="false" customHeight="false" outlineLevel="0" collapsed="false">
      <c r="A31" s="0" t="s">
        <v>33</v>
      </c>
    </row>
    <row r="32" customFormat="false" ht="15" hidden="false" customHeight="false" outlineLevel="0" collapsed="false">
      <c r="A32" s="0" t="s">
        <v>34</v>
      </c>
    </row>
    <row r="33" customFormat="false" ht="15" hidden="false" customHeight="false" outlineLevel="0" collapsed="false">
      <c r="A33" s="0" t="s">
        <v>35</v>
      </c>
    </row>
    <row r="34" customFormat="false" ht="15" hidden="false" customHeight="false" outlineLevel="0" collapsed="false">
      <c r="A34" s="0" t="s">
        <v>36</v>
      </c>
    </row>
    <row r="36" customFormat="false" ht="15" hidden="false" customHeight="false" outlineLevel="0" collapsed="false">
      <c r="A36" s="10" t="s">
        <v>37</v>
      </c>
    </row>
    <row r="37" customFormat="false" ht="15" hidden="false" customHeight="false" outlineLevel="0" collapsed="false">
      <c r="A37" s="0" t="s">
        <v>38</v>
      </c>
    </row>
    <row r="38" customFormat="false" ht="15" hidden="false" customHeight="false" outlineLevel="0" collapsed="false">
      <c r="A38" s="0" t="s">
        <v>39</v>
      </c>
    </row>
    <row r="39" customFormat="false" ht="15" hidden="false" customHeight="false" outlineLevel="0" collapsed="false">
      <c r="A39" s="0" t="s">
        <v>40</v>
      </c>
    </row>
    <row r="40" customFormat="false" ht="15" hidden="false" customHeight="false" outlineLevel="0" collapsed="false">
      <c r="A40" s="0" t="s">
        <v>41</v>
      </c>
    </row>
    <row r="42" customFormat="false" ht="15" hidden="false" customHeight="false" outlineLevel="0" collapsed="false">
      <c r="A42" s="11" t="s">
        <v>42</v>
      </c>
      <c r="B42" s="12"/>
      <c r="C42" s="12"/>
      <c r="D42" s="12"/>
    </row>
    <row r="43" customFormat="false" ht="15" hidden="false" customHeight="false" outlineLevel="0" collapsed="false">
      <c r="A43" s="13" t="s">
        <v>43</v>
      </c>
    </row>
    <row r="45" customFormat="false" ht="15" hidden="false" customHeight="false" outlineLevel="0" collapsed="false">
      <c r="A45" s="14" t="s">
        <v>44</v>
      </c>
      <c r="B45" s="15"/>
      <c r="C45" s="15"/>
      <c r="D45" s="15"/>
    </row>
    <row r="46" customFormat="false" ht="15" hidden="false" customHeight="false" outlineLevel="0" collapsed="false">
      <c r="A46" s="16" t="s">
        <v>45</v>
      </c>
      <c r="B46" s="17" t="n">
        <v>93700</v>
      </c>
    </row>
    <row r="47" customFormat="false" ht="15" hidden="false" customHeight="false" outlineLevel="0" collapsed="false">
      <c r="A47" s="16" t="s">
        <v>46</v>
      </c>
      <c r="B47" s="17" t="n">
        <v>284775</v>
      </c>
    </row>
    <row r="48" customFormat="false" ht="15" hidden="false" customHeight="false" outlineLevel="0" collapsed="false">
      <c r="A48" s="16" t="s">
        <v>47</v>
      </c>
      <c r="B48" s="18" t="n">
        <f aca="false">B47/B46-1</f>
        <v>2.03922091782284</v>
      </c>
      <c r="D48" s="19" t="s">
        <v>48</v>
      </c>
    </row>
    <row r="49" customFormat="false" ht="15" hidden="false" customHeight="false" outlineLevel="0" collapsed="false">
      <c r="A49" s="16" t="s">
        <v>49</v>
      </c>
      <c r="B49" s="20" t="n">
        <f aca="false">1742597/12</f>
        <v>145216.416666667</v>
      </c>
      <c r="D49" s="19" t="s">
        <v>50</v>
      </c>
    </row>
    <row r="50" customFormat="false" ht="15" hidden="false" customHeight="false" outlineLevel="0" collapsed="false">
      <c r="A50" s="16" t="s">
        <v>51</v>
      </c>
      <c r="B50" s="20" t="n">
        <f aca="false">1742597*0.422</f>
        <v>735375.934</v>
      </c>
    </row>
    <row r="51" customFormat="false" ht="15" hidden="false" customHeight="false" outlineLevel="0" collapsed="false">
      <c r="A51" s="21" t="s">
        <v>52</v>
      </c>
      <c r="B51" s="22" t="n">
        <f aca="false">3138750*0.422</f>
        <v>1324552.5</v>
      </c>
    </row>
    <row r="52" customFormat="false" ht="15" hidden="false" customHeight="false" outlineLevel="0" collapsed="false">
      <c r="A52" s="21" t="s">
        <v>53</v>
      </c>
      <c r="B52" s="22" t="n">
        <f aca="false">B51-B50</f>
        <v>589176.566</v>
      </c>
      <c r="D52" s="19" t="s">
        <v>54</v>
      </c>
    </row>
    <row r="53" customFormat="false" ht="15" hidden="false" customHeight="false" outlineLevel="0" collapsed="false">
      <c r="A53" s="16" t="s">
        <v>55</v>
      </c>
      <c r="B53" s="16" t="s">
        <v>56</v>
      </c>
      <c r="D53" s="19" t="s">
        <v>57</v>
      </c>
    </row>
    <row r="55" customFormat="false" ht="15" hidden="false" customHeight="false" outlineLevel="0" collapsed="false">
      <c r="A55" s="14" t="s">
        <v>58</v>
      </c>
      <c r="B55" s="15"/>
      <c r="C55" s="15"/>
      <c r="D55" s="15"/>
    </row>
    <row r="56" customFormat="false" ht="15" hidden="false" customHeight="false" outlineLevel="0" collapsed="false">
      <c r="A56" s="16" t="s">
        <v>59</v>
      </c>
      <c r="B56" s="17" t="n">
        <v>234288</v>
      </c>
    </row>
    <row r="57" customFormat="false" ht="15" hidden="false" customHeight="false" outlineLevel="0" collapsed="false">
      <c r="A57" s="21" t="s">
        <v>60</v>
      </c>
      <c r="B57" s="23" t="n">
        <v>1355761</v>
      </c>
    </row>
    <row r="58" customFormat="false" ht="15" hidden="false" customHeight="false" outlineLevel="0" collapsed="false">
      <c r="A58" s="16" t="s">
        <v>61</v>
      </c>
      <c r="B58" s="18" t="n">
        <f aca="false">B56/B57</f>
        <v>0.172809219324055</v>
      </c>
    </row>
    <row r="59" customFormat="false" ht="15" hidden="false" customHeight="false" outlineLevel="0" collapsed="false">
      <c r="A59" s="16" t="s">
        <v>62</v>
      </c>
      <c r="B59" s="17" t="n">
        <v>452339</v>
      </c>
      <c r="C59" s="18" t="n">
        <f aca="false">B59/B57</f>
        <v>0.333642138990574</v>
      </c>
    </row>
    <row r="60" customFormat="false" ht="15" hidden="false" customHeight="false" outlineLevel="0" collapsed="false">
      <c r="A60" s="16" t="s">
        <v>63</v>
      </c>
      <c r="B60" s="18" t="n">
        <f aca="false">B57/(B57+10454987)</f>
        <v>0.114790443416454</v>
      </c>
      <c r="D60" s="19" t="s">
        <v>64</v>
      </c>
    </row>
    <row r="61" customFormat="false" ht="15" hidden="false" customHeight="false" outlineLevel="0" collapsed="false">
      <c r="A61" s="16" t="s">
        <v>65</v>
      </c>
      <c r="B61" s="18" t="n">
        <f aca="false">1117862/(1117862+6035723)</f>
        <v>0.156265984118453</v>
      </c>
      <c r="D61" s="19" t="s">
        <v>66</v>
      </c>
    </row>
    <row r="62" customFormat="false" ht="28.35" hidden="false" customHeight="false" outlineLevel="0" collapsed="false">
      <c r="A62" s="16" t="s">
        <v>67</v>
      </c>
      <c r="B62" s="16" t="s">
        <v>68</v>
      </c>
      <c r="D62" s="19" t="s">
        <v>69</v>
      </c>
    </row>
    <row r="64" customFormat="false" ht="15" hidden="false" customHeight="false" outlineLevel="0" collapsed="false">
      <c r="A64" s="14" t="s">
        <v>70</v>
      </c>
      <c r="B64" s="15"/>
      <c r="C64" s="15"/>
      <c r="D64" s="15"/>
    </row>
    <row r="65" customFormat="false" ht="15" hidden="false" customHeight="false" outlineLevel="0" collapsed="false">
      <c r="A65" s="16" t="s">
        <v>71</v>
      </c>
      <c r="B65" s="24" t="n">
        <v>13.4</v>
      </c>
    </row>
    <row r="66" customFormat="false" ht="15" hidden="false" customHeight="false" outlineLevel="0" collapsed="false">
      <c r="A66" s="16" t="s">
        <v>72</v>
      </c>
      <c r="B66" s="24" t="n">
        <v>22</v>
      </c>
    </row>
    <row r="67" customFormat="false" ht="28.35" hidden="false" customHeight="false" outlineLevel="0" collapsed="false">
      <c r="A67" s="21" t="s">
        <v>73</v>
      </c>
      <c r="B67" s="25" t="n">
        <f aca="false">B66-B65</f>
        <v>8.6</v>
      </c>
      <c r="D67" s="19" t="s">
        <v>74</v>
      </c>
    </row>
    <row r="68" customFormat="false" ht="28.35" hidden="false" customHeight="false" outlineLevel="0" collapsed="false">
      <c r="A68" s="21" t="s">
        <v>75</v>
      </c>
      <c r="B68" s="26" t="n">
        <v>11.3</v>
      </c>
      <c r="D68" s="19" t="s">
        <v>76</v>
      </c>
    </row>
    <row r="70" customFormat="false" ht="15" hidden="false" customHeight="false" outlineLevel="0" collapsed="false">
      <c r="A70" s="14" t="s">
        <v>77</v>
      </c>
      <c r="B70" s="15"/>
      <c r="C70" s="15"/>
      <c r="D70" s="15"/>
    </row>
    <row r="71" customFormat="false" ht="15" hidden="false" customHeight="false" outlineLevel="0" collapsed="false">
      <c r="A71" s="16" t="s">
        <v>78</v>
      </c>
      <c r="B71" s="16" t="s">
        <v>79</v>
      </c>
    </row>
    <row r="72" customFormat="false" ht="15" hidden="false" customHeight="false" outlineLevel="0" collapsed="false">
      <c r="A72" s="16" t="s">
        <v>80</v>
      </c>
      <c r="B72" s="27" t="n">
        <v>36</v>
      </c>
      <c r="C72" s="18" t="n">
        <f aca="false">B72/162</f>
        <v>0.222222222222222</v>
      </c>
    </row>
    <row r="73" customFormat="false" ht="15" hidden="false" customHeight="false" outlineLevel="0" collapsed="false">
      <c r="A73" s="16" t="s">
        <v>81</v>
      </c>
      <c r="B73" s="27" t="n">
        <v>54326</v>
      </c>
    </row>
    <row r="74" customFormat="false" ht="15" hidden="false" customHeight="false" outlineLevel="0" collapsed="false">
      <c r="A74" s="16" t="s">
        <v>82</v>
      </c>
      <c r="B74" s="17" t="n">
        <v>12399</v>
      </c>
    </row>
    <row r="75" customFormat="false" ht="28.35" hidden="false" customHeight="false" outlineLevel="0" collapsed="false">
      <c r="A75" s="16" t="s">
        <v>83</v>
      </c>
      <c r="B75" s="20" t="n">
        <f aca="false">0.05/1.7001*0.5*393*B73</f>
        <v>313953.85565555</v>
      </c>
      <c r="D75" s="19" t="s">
        <v>84</v>
      </c>
    </row>
    <row r="77" customFormat="false" ht="15" hidden="false" customHeight="false" outlineLevel="0" collapsed="false">
      <c r="A77" s="14" t="s">
        <v>85</v>
      </c>
      <c r="B77" s="15"/>
      <c r="C77" s="15"/>
      <c r="D77" s="15"/>
    </row>
    <row r="78" customFormat="false" ht="15" hidden="false" customHeight="false" outlineLevel="0" collapsed="false">
      <c r="A78" s="16" t="s">
        <v>86</v>
      </c>
      <c r="B78" s="20" t="n">
        <f aca="false">-1266*406</f>
        <v>-513996</v>
      </c>
      <c r="D78" s="19" t="s">
        <v>87</v>
      </c>
    </row>
    <row r="79" customFormat="false" ht="41.75" hidden="false" customHeight="false" outlineLevel="0" collapsed="false">
      <c r="A79" s="16" t="s">
        <v>88</v>
      </c>
      <c r="B79" s="16" t="s">
        <v>89</v>
      </c>
      <c r="D79" s="19" t="s">
        <v>90</v>
      </c>
    </row>
    <row r="80" customFormat="false" ht="28.35" hidden="false" customHeight="false" outlineLevel="0" collapsed="false">
      <c r="A80" s="16" t="s">
        <v>91</v>
      </c>
      <c r="B80" s="16" t="s">
        <v>92</v>
      </c>
      <c r="D80" s="19" t="s">
        <v>93</v>
      </c>
    </row>
    <row r="81" customFormat="false" ht="28.35" hidden="false" customHeight="false" outlineLevel="0" collapsed="false">
      <c r="A81" s="16" t="s">
        <v>94</v>
      </c>
      <c r="D81" s="19" t="s">
        <v>95</v>
      </c>
    </row>
    <row r="83" customFormat="false" ht="15" hidden="false" customHeight="false" outlineLevel="0" collapsed="false">
      <c r="A83" s="11" t="s">
        <v>96</v>
      </c>
      <c r="B83" s="12"/>
      <c r="C83" s="12"/>
      <c r="D83" s="12"/>
    </row>
    <row r="84" customFormat="false" ht="15" hidden="false" customHeight="false" outlineLevel="0" collapsed="false">
      <c r="A84" s="16" t="s">
        <v>97</v>
      </c>
    </row>
    <row r="85" customFormat="false" ht="15" hidden="false" customHeight="false" outlineLevel="0" collapsed="false">
      <c r="A85" s="16" t="s">
        <v>98</v>
      </c>
    </row>
    <row r="86" customFormat="false" ht="15" hidden="false" customHeight="false" outlineLevel="0" collapsed="false">
      <c r="A86" s="16" t="s">
        <v>99</v>
      </c>
    </row>
    <row r="87" customFormat="false" ht="15" hidden="false" customHeight="false" outlineLevel="0" collapsed="false">
      <c r="A87" s="16" t="s">
        <v>100</v>
      </c>
    </row>
    <row r="88" customFormat="false" ht="15" hidden="false" customHeight="false" outlineLevel="0" collapsed="false">
      <c r="A88" s="16" t="s">
        <v>101</v>
      </c>
    </row>
    <row r="89" customFormat="false" ht="15" hidden="false" customHeight="false" outlineLevel="0" collapsed="false">
      <c r="A89" s="1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54"/>
  </cols>
  <sheetData>
    <row r="1" customFormat="false" ht="19.7" hidden="false" customHeight="false" outlineLevel="0" collapsed="false">
      <c r="A1" s="28" t="s">
        <v>103</v>
      </c>
    </row>
    <row r="2" customFormat="false" ht="15" hidden="false" customHeight="false" outlineLevel="0" collapsed="false">
      <c r="A2" s="13" t="s">
        <v>104</v>
      </c>
    </row>
    <row r="4" customFormat="false" ht="15" hidden="false" customHeight="false" outlineLevel="0" collapsed="false">
      <c r="A4" s="11" t="s">
        <v>105</v>
      </c>
      <c r="B4" s="11" t="s">
        <v>106</v>
      </c>
      <c r="C4" s="11" t="s">
        <v>107</v>
      </c>
      <c r="D4" s="11" t="s">
        <v>108</v>
      </c>
      <c r="E4" s="11" t="s">
        <v>109</v>
      </c>
    </row>
    <row r="5" customFormat="false" ht="15" hidden="false" customHeight="false" outlineLevel="0" collapsed="false">
      <c r="A5" s="16" t="s">
        <v>110</v>
      </c>
      <c r="B5" s="20" t="n">
        <v>2616869</v>
      </c>
      <c r="C5" s="20" t="n">
        <v>2616869</v>
      </c>
      <c r="D5" s="20" t="n">
        <v>2616869</v>
      </c>
      <c r="E5" s="19" t="s">
        <v>111</v>
      </c>
    </row>
    <row r="6" customFormat="false" ht="15" hidden="false" customHeight="false" outlineLevel="0" collapsed="false">
      <c r="A6" s="16" t="s">
        <v>112</v>
      </c>
      <c r="B6" s="20" t="n">
        <v>-1141679</v>
      </c>
      <c r="C6" s="20" t="n">
        <v>-1324552</v>
      </c>
      <c r="D6" s="20" t="n">
        <v>-1324552</v>
      </c>
      <c r="E6" s="19" t="s">
        <v>113</v>
      </c>
    </row>
    <row r="7" customFormat="false" ht="15" hidden="false" customHeight="false" outlineLevel="0" collapsed="false">
      <c r="A7" s="16" t="s">
        <v>114</v>
      </c>
      <c r="B7" s="20" t="n">
        <v>208391</v>
      </c>
      <c r="C7" s="20" t="n">
        <v>250069</v>
      </c>
      <c r="D7" s="20" t="n">
        <v>277854</v>
      </c>
      <c r="E7" s="19" t="s">
        <v>115</v>
      </c>
    </row>
    <row r="8" customFormat="false" ht="15" hidden="false" customHeight="false" outlineLevel="0" collapsed="false">
      <c r="A8" s="16" t="s">
        <v>116</v>
      </c>
      <c r="B8" s="20" t="n">
        <v>150000</v>
      </c>
      <c r="C8" s="20" t="n">
        <v>250000</v>
      </c>
      <c r="D8" s="20" t="n">
        <v>350000</v>
      </c>
      <c r="E8" s="19" t="s">
        <v>117</v>
      </c>
    </row>
    <row r="9" customFormat="false" ht="15" hidden="false" customHeight="false" outlineLevel="0" collapsed="false">
      <c r="A9" s="16" t="s">
        <v>118</v>
      </c>
      <c r="B9" s="20" t="n">
        <v>408070</v>
      </c>
      <c r="C9" s="20" t="n">
        <v>612105</v>
      </c>
      <c r="D9" s="20" t="n">
        <v>816140</v>
      </c>
      <c r="E9" s="19" t="s">
        <v>119</v>
      </c>
    </row>
    <row r="10" customFormat="false" ht="15" hidden="false" customHeight="false" outlineLevel="0" collapsed="false">
      <c r="A10" s="16" t="s">
        <v>120</v>
      </c>
      <c r="B10" s="20" t="n">
        <v>0</v>
      </c>
      <c r="C10" s="20" t="n">
        <v>156977</v>
      </c>
      <c r="D10" s="20" t="n">
        <v>313954</v>
      </c>
      <c r="E10" s="19" t="s">
        <v>121</v>
      </c>
    </row>
    <row r="11" customFormat="false" ht="15" hidden="false" customHeight="false" outlineLevel="0" collapsed="false">
      <c r="A11" s="21" t="s">
        <v>122</v>
      </c>
      <c r="B11" s="29" t="n">
        <f aca="false">SUM(B6:B10)</f>
        <v>-375218</v>
      </c>
      <c r="C11" s="29" t="n">
        <f aca="false">SUM(C6:C10)</f>
        <v>-55401</v>
      </c>
      <c r="D11" s="29" t="n">
        <f aca="false">SUM(D6:D10)</f>
        <v>433396</v>
      </c>
    </row>
    <row r="12" customFormat="false" ht="15" hidden="false" customHeight="false" outlineLevel="0" collapsed="false">
      <c r="A12" s="21" t="s">
        <v>123</v>
      </c>
      <c r="B12" s="30" t="n">
        <f aca="false">B5+B11</f>
        <v>2241651</v>
      </c>
      <c r="C12" s="30" t="n">
        <f aca="false">C5+C11</f>
        <v>2561468</v>
      </c>
      <c r="D12" s="30" t="n">
        <f aca="false">D5+D11</f>
        <v>3050265</v>
      </c>
    </row>
    <row r="13" customFormat="false" ht="15" hidden="false" customHeight="false" outlineLevel="0" collapsed="false">
      <c r="A13" s="16" t="s">
        <v>124</v>
      </c>
      <c r="B13" s="20" t="n">
        <v>2429684</v>
      </c>
      <c r="C13" s="20" t="n">
        <v>2761162</v>
      </c>
      <c r="D13" s="20" t="n">
        <v>3078747</v>
      </c>
      <c r="E13" s="19" t="s">
        <v>125</v>
      </c>
    </row>
    <row r="14" customFormat="false" ht="15" hidden="false" customHeight="false" outlineLevel="0" collapsed="false">
      <c r="A14" s="21" t="s">
        <v>126</v>
      </c>
      <c r="B14" s="22" t="n">
        <f aca="false">B12-B13</f>
        <v>-188033</v>
      </c>
      <c r="C14" s="22" t="n">
        <f aca="false">C12-C13</f>
        <v>-199694</v>
      </c>
      <c r="D14" s="22" t="n">
        <f aca="false">D12-D13</f>
        <v>-28482</v>
      </c>
    </row>
    <row r="16" customFormat="false" ht="15" hidden="false" customHeight="false" outlineLevel="0" collapsed="false">
      <c r="A16" s="11" t="s">
        <v>127</v>
      </c>
      <c r="B16" s="12"/>
      <c r="C16" s="12"/>
      <c r="D16" s="12"/>
      <c r="E16" s="12"/>
    </row>
    <row r="17" customFormat="false" ht="15" hidden="false" customHeight="false" outlineLevel="0" collapsed="false">
      <c r="A17" s="16" t="s">
        <v>128</v>
      </c>
      <c r="B17" s="20" t="n">
        <f aca="false">400*365*0.65</f>
        <v>94900</v>
      </c>
      <c r="E17" s="19" t="s">
        <v>129</v>
      </c>
    </row>
    <row r="18" customFormat="false" ht="15" hidden="false" customHeight="false" outlineLevel="0" collapsed="false">
      <c r="A18" s="21" t="s">
        <v>130</v>
      </c>
      <c r="B18" s="26" t="n">
        <f aca="false">-(C6+C7)/$B$17</f>
        <v>11.3222655426765</v>
      </c>
      <c r="E18" s="19" t="s">
        <v>131</v>
      </c>
    </row>
    <row r="19" customFormat="false" ht="15" hidden="false" customHeight="false" outlineLevel="0" collapsed="false">
      <c r="A19" s="21" t="s">
        <v>132</v>
      </c>
      <c r="B19" s="31" t="n">
        <v>8.6</v>
      </c>
      <c r="E19" s="19" t="s">
        <v>133</v>
      </c>
    </row>
    <row r="20" customFormat="false" ht="15" hidden="false" customHeight="false" outlineLevel="0" collapsed="false">
      <c r="A20" s="21" t="s">
        <v>134</v>
      </c>
      <c r="B20" s="26" t="n">
        <f aca="false">B19-B18</f>
        <v>-2.7222655426765</v>
      </c>
      <c r="C20" s="22" t="n">
        <f aca="false">B20*$B$17</f>
        <v>-258343</v>
      </c>
      <c r="E20" s="19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6" min="5" style="0" width="34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21" hidden="false" customHeight="tru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32" t="s">
        <v>138</v>
      </c>
      <c r="B4" s="32" t="s">
        <v>139</v>
      </c>
      <c r="C4" s="32" t="s">
        <v>140</v>
      </c>
      <c r="D4" s="32" t="s">
        <v>141</v>
      </c>
      <c r="E4" s="32" t="s">
        <v>142</v>
      </c>
      <c r="F4" s="32" t="s">
        <v>143</v>
      </c>
      <c r="G4" s="32" t="s">
        <v>144</v>
      </c>
      <c r="H4" s="11" t="s">
        <v>145</v>
      </c>
    </row>
    <row r="5" customFormat="false" ht="75" hidden="false" customHeight="true" outlineLevel="0" collapsed="false">
      <c r="A5" s="33" t="s">
        <v>146</v>
      </c>
      <c r="B5" s="34" t="s">
        <v>147</v>
      </c>
      <c r="C5" s="35" t="s">
        <v>148</v>
      </c>
      <c r="D5" s="34" t="s">
        <v>149</v>
      </c>
      <c r="E5" s="34" t="s">
        <v>150</v>
      </c>
      <c r="F5" s="34" t="s">
        <v>151</v>
      </c>
      <c r="G5" s="36" t="s">
        <v>152</v>
      </c>
      <c r="H5" s="19" t="s">
        <v>153</v>
      </c>
    </row>
    <row r="6" customFormat="false" ht="45" hidden="false" customHeight="true" outlineLevel="0" collapsed="false">
      <c r="A6" s="33" t="s">
        <v>146</v>
      </c>
      <c r="B6" s="34" t="s">
        <v>154</v>
      </c>
      <c r="C6" s="35" t="s">
        <v>148</v>
      </c>
      <c r="D6" s="34" t="s">
        <v>155</v>
      </c>
      <c r="E6" s="34" t="s">
        <v>156</v>
      </c>
      <c r="F6" s="34" t="s">
        <v>157</v>
      </c>
      <c r="G6" s="36" t="s">
        <v>152</v>
      </c>
    </row>
    <row r="7" customFormat="false" ht="30" hidden="false" customHeight="true" outlineLevel="0" collapsed="false">
      <c r="A7" s="33" t="s">
        <v>146</v>
      </c>
      <c r="B7" s="34" t="s">
        <v>158</v>
      </c>
      <c r="C7" s="35" t="s">
        <v>148</v>
      </c>
      <c r="D7" s="34" t="s">
        <v>159</v>
      </c>
      <c r="E7" s="34" t="s">
        <v>160</v>
      </c>
      <c r="F7" s="34" t="s">
        <v>161</v>
      </c>
      <c r="G7" s="36" t="s">
        <v>152</v>
      </c>
    </row>
    <row r="8" customFormat="false" ht="30" hidden="false" customHeight="true" outlineLevel="0" collapsed="false">
      <c r="A8" s="33" t="s">
        <v>146</v>
      </c>
      <c r="B8" s="34" t="s">
        <v>162</v>
      </c>
      <c r="C8" s="37" t="s">
        <v>163</v>
      </c>
      <c r="D8" s="34" t="s">
        <v>164</v>
      </c>
      <c r="E8" s="34" t="s">
        <v>165</v>
      </c>
      <c r="F8" s="34" t="s">
        <v>166</v>
      </c>
      <c r="G8" s="36" t="s">
        <v>152</v>
      </c>
      <c r="H8" s="19" t="s">
        <v>167</v>
      </c>
    </row>
    <row r="9" customFormat="false" ht="30" hidden="false" customHeight="true" outlineLevel="0" collapsed="false">
      <c r="A9" s="33" t="s">
        <v>146</v>
      </c>
      <c r="B9" s="34" t="s">
        <v>168</v>
      </c>
      <c r="C9" s="35" t="s">
        <v>148</v>
      </c>
      <c r="D9" s="34" t="s">
        <v>169</v>
      </c>
      <c r="E9" s="34" t="s">
        <v>170</v>
      </c>
      <c r="F9" s="34" t="s">
        <v>171</v>
      </c>
      <c r="G9" s="36" t="s">
        <v>152</v>
      </c>
      <c r="H9" s="19" t="s">
        <v>172</v>
      </c>
    </row>
    <row r="10" customFormat="false" ht="60" hidden="false" customHeight="true" outlineLevel="0" collapsed="false">
      <c r="A10" s="38" t="s">
        <v>173</v>
      </c>
      <c r="B10" s="34" t="s">
        <v>168</v>
      </c>
      <c r="C10" s="35" t="s">
        <v>148</v>
      </c>
      <c r="D10" s="34" t="s">
        <v>174</v>
      </c>
      <c r="E10" s="34" t="s">
        <v>175</v>
      </c>
      <c r="F10" s="34" t="s">
        <v>176</v>
      </c>
      <c r="G10" s="36" t="s">
        <v>152</v>
      </c>
      <c r="H10" s="19" t="s">
        <v>177</v>
      </c>
    </row>
    <row r="11" customFormat="false" ht="45" hidden="false" customHeight="true" outlineLevel="0" collapsed="false">
      <c r="A11" s="38" t="s">
        <v>173</v>
      </c>
      <c r="B11" s="34" t="s">
        <v>162</v>
      </c>
      <c r="C11" s="35" t="s">
        <v>148</v>
      </c>
      <c r="D11" s="34" t="s">
        <v>178</v>
      </c>
      <c r="E11" s="34" t="s">
        <v>179</v>
      </c>
      <c r="F11" s="34" t="s">
        <v>180</v>
      </c>
      <c r="G11" s="36" t="s">
        <v>152</v>
      </c>
      <c r="H11" s="19" t="s">
        <v>181</v>
      </c>
    </row>
    <row r="12" customFormat="false" ht="45" hidden="false" customHeight="true" outlineLevel="0" collapsed="false">
      <c r="A12" s="38" t="s">
        <v>173</v>
      </c>
      <c r="B12" s="34" t="s">
        <v>154</v>
      </c>
      <c r="C12" s="35" t="s">
        <v>148</v>
      </c>
      <c r="D12" s="34" t="s">
        <v>182</v>
      </c>
      <c r="E12" s="34" t="s">
        <v>183</v>
      </c>
      <c r="F12" s="34" t="s">
        <v>184</v>
      </c>
      <c r="G12" s="36" t="s">
        <v>152</v>
      </c>
      <c r="H12" s="19" t="s">
        <v>185</v>
      </c>
    </row>
    <row r="13" customFormat="false" ht="45" hidden="false" customHeight="true" outlineLevel="0" collapsed="false">
      <c r="A13" s="38" t="s">
        <v>173</v>
      </c>
      <c r="B13" s="34" t="s">
        <v>162</v>
      </c>
      <c r="C13" s="37" t="s">
        <v>163</v>
      </c>
      <c r="D13" s="34" t="s">
        <v>186</v>
      </c>
      <c r="E13" s="34" t="s">
        <v>187</v>
      </c>
      <c r="F13" s="34" t="s">
        <v>188</v>
      </c>
      <c r="G13" s="36" t="s">
        <v>152</v>
      </c>
      <c r="H13" s="19" t="s">
        <v>167</v>
      </c>
    </row>
    <row r="14" customFormat="false" ht="45" hidden="false" customHeight="true" outlineLevel="0" collapsed="false">
      <c r="A14" s="38" t="s">
        <v>173</v>
      </c>
      <c r="B14" s="34" t="s">
        <v>158</v>
      </c>
      <c r="C14" s="37" t="s">
        <v>163</v>
      </c>
      <c r="D14" s="34" t="s">
        <v>189</v>
      </c>
      <c r="E14" s="34" t="s">
        <v>190</v>
      </c>
      <c r="F14" s="34" t="s">
        <v>191</v>
      </c>
      <c r="G14" s="36" t="s">
        <v>152</v>
      </c>
      <c r="H14" s="19" t="s">
        <v>192</v>
      </c>
    </row>
    <row r="15" customFormat="false" ht="30" hidden="false" customHeight="true" outlineLevel="0" collapsed="false">
      <c r="A15" s="39" t="s">
        <v>193</v>
      </c>
      <c r="B15" s="34" t="s">
        <v>168</v>
      </c>
      <c r="C15" s="35" t="s">
        <v>148</v>
      </c>
      <c r="D15" s="34" t="s">
        <v>194</v>
      </c>
      <c r="E15" s="34" t="s">
        <v>195</v>
      </c>
      <c r="F15" s="34" t="s">
        <v>196</v>
      </c>
      <c r="G15" s="36" t="s">
        <v>152</v>
      </c>
      <c r="H15" s="19" t="s">
        <v>177</v>
      </c>
    </row>
    <row r="16" customFormat="false" ht="45" hidden="false" customHeight="true" outlineLevel="0" collapsed="false">
      <c r="A16" s="39" t="s">
        <v>193</v>
      </c>
      <c r="B16" s="34" t="s">
        <v>162</v>
      </c>
      <c r="C16" s="35" t="s">
        <v>148</v>
      </c>
      <c r="D16" s="34" t="s">
        <v>197</v>
      </c>
      <c r="E16" s="34" t="s">
        <v>198</v>
      </c>
      <c r="F16" s="34" t="s">
        <v>199</v>
      </c>
      <c r="G16" s="36" t="s">
        <v>152</v>
      </c>
      <c r="H16" s="19" t="s">
        <v>200</v>
      </c>
    </row>
    <row r="17" customFormat="false" ht="45" hidden="false" customHeight="true" outlineLevel="0" collapsed="false">
      <c r="A17" s="39" t="s">
        <v>193</v>
      </c>
      <c r="B17" s="34" t="s">
        <v>154</v>
      </c>
      <c r="C17" s="37" t="s">
        <v>163</v>
      </c>
      <c r="D17" s="34" t="s">
        <v>201</v>
      </c>
      <c r="E17" s="34" t="s">
        <v>202</v>
      </c>
      <c r="F17" s="34" t="s">
        <v>203</v>
      </c>
      <c r="G17" s="36" t="s">
        <v>152</v>
      </c>
      <c r="H17" s="19" t="s">
        <v>204</v>
      </c>
    </row>
    <row r="18" customFormat="false" ht="30" hidden="false" customHeight="true" outlineLevel="0" collapsed="false">
      <c r="A18" s="39" t="s">
        <v>193</v>
      </c>
      <c r="B18" s="34" t="s">
        <v>158</v>
      </c>
      <c r="C18" s="37" t="s">
        <v>163</v>
      </c>
      <c r="D18" s="34" t="s">
        <v>205</v>
      </c>
      <c r="E18" s="34" t="s">
        <v>206</v>
      </c>
      <c r="F18" s="34" t="s">
        <v>207</v>
      </c>
      <c r="G18" s="36" t="s">
        <v>152</v>
      </c>
      <c r="H18" s="19" t="s">
        <v>192</v>
      </c>
    </row>
    <row r="19" customFormat="false" ht="45" hidden="false" customHeight="true" outlineLevel="0" collapsed="false">
      <c r="A19" s="39" t="s">
        <v>193</v>
      </c>
      <c r="B19" s="34" t="s">
        <v>208</v>
      </c>
      <c r="C19" s="37" t="s">
        <v>163</v>
      </c>
      <c r="D19" s="34" t="s">
        <v>209</v>
      </c>
      <c r="E19" s="34" t="s">
        <v>210</v>
      </c>
      <c r="F19" s="34" t="s">
        <v>211</v>
      </c>
      <c r="G19" s="36" t="s">
        <v>152</v>
      </c>
    </row>
    <row r="20" customFormat="false" ht="15" hidden="false" customHeight="false" outlineLevel="0" collapsed="false">
      <c r="A20" s="11" t="s">
        <v>212</v>
      </c>
      <c r="B20" s="12"/>
      <c r="C20" s="12"/>
      <c r="D20" s="12"/>
      <c r="E20" s="12"/>
      <c r="F20" s="12"/>
      <c r="G20" s="12"/>
      <c r="H20" s="12"/>
    </row>
    <row r="21" customFormat="false" ht="82.05" hidden="false" customHeight="false" outlineLevel="0" collapsed="false">
      <c r="A21" s="19" t="s">
        <v>146</v>
      </c>
      <c r="B21" s="19" t="s">
        <v>213</v>
      </c>
      <c r="C21" s="40" t="s">
        <v>214</v>
      </c>
      <c r="D21" s="19" t="s">
        <v>215</v>
      </c>
      <c r="E21" s="19" t="s">
        <v>216</v>
      </c>
      <c r="F21" s="19" t="s">
        <v>217</v>
      </c>
      <c r="G21" s="19" t="s">
        <v>152</v>
      </c>
      <c r="H21" s="19" t="s">
        <v>218</v>
      </c>
    </row>
    <row r="22" customFormat="false" ht="55.2" hidden="false" customHeight="false" outlineLevel="0" collapsed="false">
      <c r="A22" s="19" t="s">
        <v>146</v>
      </c>
      <c r="B22" s="19" t="s">
        <v>219</v>
      </c>
      <c r="C22" s="40" t="s">
        <v>214</v>
      </c>
      <c r="D22" s="19" t="s">
        <v>220</v>
      </c>
      <c r="E22" s="19" t="s">
        <v>221</v>
      </c>
      <c r="F22" s="19" t="s">
        <v>222</v>
      </c>
      <c r="G22" s="19" t="s">
        <v>152</v>
      </c>
      <c r="H22" s="19" t="s">
        <v>223</v>
      </c>
    </row>
    <row r="23" customFormat="false" ht="55.2" hidden="false" customHeight="false" outlineLevel="0" collapsed="false">
      <c r="A23" s="19" t="s">
        <v>173</v>
      </c>
      <c r="B23" s="19" t="s">
        <v>154</v>
      </c>
      <c r="C23" s="40" t="s">
        <v>214</v>
      </c>
      <c r="D23" s="19" t="s">
        <v>224</v>
      </c>
      <c r="E23" s="19" t="s">
        <v>225</v>
      </c>
      <c r="F23" s="19" t="s">
        <v>226</v>
      </c>
      <c r="G23" s="19" t="s">
        <v>152</v>
      </c>
      <c r="H23" s="19" t="s">
        <v>185</v>
      </c>
    </row>
    <row r="24" customFormat="false" ht="55.2" hidden="false" customHeight="false" outlineLevel="0" collapsed="false">
      <c r="A24" s="19" t="s">
        <v>173</v>
      </c>
      <c r="B24" s="19" t="s">
        <v>227</v>
      </c>
      <c r="C24" s="19" t="s">
        <v>148</v>
      </c>
      <c r="D24" s="19" t="s">
        <v>228</v>
      </c>
      <c r="E24" s="19" t="s">
        <v>229</v>
      </c>
      <c r="F24" s="19" t="s">
        <v>230</v>
      </c>
      <c r="G24" s="19" t="s">
        <v>152</v>
      </c>
      <c r="H24" s="19" t="s">
        <v>181</v>
      </c>
    </row>
    <row r="25" customFormat="false" ht="55.2" hidden="false" customHeight="false" outlineLevel="0" collapsed="false">
      <c r="A25" s="19" t="s">
        <v>173</v>
      </c>
      <c r="B25" s="19" t="s">
        <v>168</v>
      </c>
      <c r="C25" s="19" t="s">
        <v>148</v>
      </c>
      <c r="D25" s="19" t="s">
        <v>231</v>
      </c>
      <c r="E25" s="19" t="s">
        <v>232</v>
      </c>
      <c r="F25" s="19" t="s">
        <v>233</v>
      </c>
      <c r="G25" s="19" t="s">
        <v>152</v>
      </c>
      <c r="H25" s="19" t="s">
        <v>234</v>
      </c>
    </row>
    <row r="26" customFormat="false" ht="55.2" hidden="false" customHeight="false" outlineLevel="0" collapsed="false">
      <c r="A26" s="19" t="s">
        <v>146</v>
      </c>
      <c r="B26" s="19" t="s">
        <v>158</v>
      </c>
      <c r="C26" s="19" t="s">
        <v>148</v>
      </c>
      <c r="D26" s="19" t="s">
        <v>235</v>
      </c>
      <c r="E26" s="19" t="s">
        <v>236</v>
      </c>
      <c r="F26" s="19" t="s">
        <v>237</v>
      </c>
      <c r="G26" s="19" t="s">
        <v>152</v>
      </c>
      <c r="H26" s="19" t="s">
        <v>238</v>
      </c>
    </row>
    <row r="27" customFormat="false" ht="55.2" hidden="false" customHeight="false" outlineLevel="0" collapsed="false">
      <c r="A27" s="19" t="s">
        <v>193</v>
      </c>
      <c r="B27" s="19" t="s">
        <v>162</v>
      </c>
      <c r="C27" s="40" t="s">
        <v>214</v>
      </c>
      <c r="D27" s="19" t="s">
        <v>239</v>
      </c>
      <c r="E27" s="19" t="s">
        <v>240</v>
      </c>
      <c r="F27" s="19" t="s">
        <v>241</v>
      </c>
      <c r="G27" s="19" t="s">
        <v>152</v>
      </c>
      <c r="H27" s="19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34"/>
  </cols>
  <sheetData>
    <row r="1" customFormat="false" ht="21" hidden="false" customHeight="true" outlineLevel="0" collapsed="false">
      <c r="A1" s="1" t="s">
        <v>243</v>
      </c>
    </row>
    <row r="2" customFormat="false" ht="15" hidden="false" customHeight="false" outlineLevel="0" collapsed="false">
      <c r="A2" s="2" t="s">
        <v>244</v>
      </c>
    </row>
    <row r="4" customFormat="false" ht="15" hidden="false" customHeight="false" outlineLevel="0" collapsed="false">
      <c r="A4" s="32" t="s">
        <v>245</v>
      </c>
      <c r="B4" s="32" t="s">
        <v>246</v>
      </c>
      <c r="C4" s="32" t="s">
        <v>138</v>
      </c>
      <c r="D4" s="32" t="s">
        <v>247</v>
      </c>
      <c r="E4" s="32" t="s">
        <v>248</v>
      </c>
      <c r="F4" s="32" t="s">
        <v>249</v>
      </c>
    </row>
    <row r="5" customFormat="false" ht="105" hidden="false" customHeight="true" outlineLevel="0" collapsed="false">
      <c r="A5" s="41" t="s">
        <v>250</v>
      </c>
      <c r="B5" s="34" t="s">
        <v>251</v>
      </c>
      <c r="C5" s="33" t="s">
        <v>146</v>
      </c>
      <c r="D5" s="34" t="s">
        <v>252</v>
      </c>
      <c r="E5" s="34" t="s">
        <v>253</v>
      </c>
      <c r="F5" s="34" t="s">
        <v>254</v>
      </c>
    </row>
    <row r="6" customFormat="false" ht="75" hidden="false" customHeight="true" outlineLevel="0" collapsed="false">
      <c r="A6" s="41" t="s">
        <v>255</v>
      </c>
      <c r="B6" s="34" t="s">
        <v>256</v>
      </c>
      <c r="C6" s="33" t="s">
        <v>146</v>
      </c>
      <c r="D6" s="34" t="s">
        <v>257</v>
      </c>
      <c r="E6" s="34" t="s">
        <v>258</v>
      </c>
      <c r="F6" s="34" t="s">
        <v>259</v>
      </c>
    </row>
    <row r="7" customFormat="false" ht="90" hidden="false" customHeight="true" outlineLevel="0" collapsed="false">
      <c r="A7" s="41" t="s">
        <v>260</v>
      </c>
      <c r="B7" s="34" t="s">
        <v>261</v>
      </c>
      <c r="C7" s="33" t="s">
        <v>146</v>
      </c>
      <c r="D7" s="34" t="s">
        <v>262</v>
      </c>
      <c r="E7" s="34" t="s">
        <v>263</v>
      </c>
      <c r="F7" s="34" t="s">
        <v>264</v>
      </c>
    </row>
    <row r="8" customFormat="false" ht="60" hidden="false" customHeight="true" outlineLevel="0" collapsed="false">
      <c r="A8" s="41" t="s">
        <v>265</v>
      </c>
      <c r="B8" s="34" t="s">
        <v>266</v>
      </c>
      <c r="C8" s="33" t="s">
        <v>146</v>
      </c>
      <c r="D8" s="34" t="s">
        <v>267</v>
      </c>
      <c r="E8" s="34" t="s">
        <v>268</v>
      </c>
      <c r="F8" s="34" t="s">
        <v>269</v>
      </c>
    </row>
    <row r="9" customFormat="false" ht="60" hidden="false" customHeight="true" outlineLevel="0" collapsed="false">
      <c r="A9" s="42" t="s">
        <v>270</v>
      </c>
      <c r="B9" s="34" t="s">
        <v>271</v>
      </c>
      <c r="C9" s="38" t="s">
        <v>173</v>
      </c>
      <c r="D9" s="34" t="s">
        <v>272</v>
      </c>
      <c r="E9" s="34" t="s">
        <v>273</v>
      </c>
      <c r="F9" s="34" t="s">
        <v>274</v>
      </c>
    </row>
    <row r="10" customFormat="false" ht="45" hidden="false" customHeight="true" outlineLevel="0" collapsed="false">
      <c r="A10" s="42" t="s">
        <v>275</v>
      </c>
      <c r="B10" s="34" t="s">
        <v>276</v>
      </c>
      <c r="C10" s="38" t="s">
        <v>173</v>
      </c>
      <c r="D10" s="34" t="s">
        <v>277</v>
      </c>
      <c r="E10" s="34" t="s">
        <v>278</v>
      </c>
      <c r="F10" s="34" t="s">
        <v>279</v>
      </c>
    </row>
    <row r="11" customFormat="false" ht="60" hidden="false" customHeight="true" outlineLevel="0" collapsed="false">
      <c r="A11" s="42" t="s">
        <v>280</v>
      </c>
      <c r="B11" s="34" t="s">
        <v>281</v>
      </c>
      <c r="C11" s="38" t="s">
        <v>173</v>
      </c>
      <c r="D11" s="34" t="s">
        <v>282</v>
      </c>
      <c r="E11" s="34" t="s">
        <v>283</v>
      </c>
      <c r="F11" s="34" t="s">
        <v>284</v>
      </c>
    </row>
    <row r="12" customFormat="false" ht="60" hidden="false" customHeight="true" outlineLevel="0" collapsed="false">
      <c r="A12" s="42" t="s">
        <v>285</v>
      </c>
      <c r="B12" s="34" t="s">
        <v>286</v>
      </c>
      <c r="C12" s="38" t="s">
        <v>173</v>
      </c>
      <c r="D12" s="34" t="s">
        <v>287</v>
      </c>
      <c r="E12" s="34" t="s">
        <v>288</v>
      </c>
      <c r="F12" s="34" t="s">
        <v>289</v>
      </c>
    </row>
    <row r="13" customFormat="false" ht="45" hidden="false" customHeight="true" outlineLevel="0" collapsed="false">
      <c r="A13" s="42" t="s">
        <v>290</v>
      </c>
      <c r="B13" s="34" t="s">
        <v>291</v>
      </c>
      <c r="C13" s="38" t="s">
        <v>173</v>
      </c>
      <c r="D13" s="34" t="s">
        <v>292</v>
      </c>
      <c r="E13" s="34" t="s">
        <v>293</v>
      </c>
      <c r="F13" s="34" t="s">
        <v>294</v>
      </c>
    </row>
    <row r="14" customFormat="false" ht="45" hidden="false" customHeight="true" outlineLevel="0" collapsed="false">
      <c r="A14" s="43" t="s">
        <v>295</v>
      </c>
      <c r="B14" s="34" t="s">
        <v>296</v>
      </c>
      <c r="C14" s="39" t="s">
        <v>193</v>
      </c>
      <c r="D14" s="34" t="s">
        <v>297</v>
      </c>
      <c r="E14" s="34" t="s">
        <v>298</v>
      </c>
      <c r="F14" s="34" t="s">
        <v>299</v>
      </c>
    </row>
    <row r="15" customFormat="false" ht="30" hidden="false" customHeight="true" outlineLevel="0" collapsed="false">
      <c r="A15" s="43" t="s">
        <v>300</v>
      </c>
      <c r="B15" s="34" t="s">
        <v>301</v>
      </c>
      <c r="C15" s="39" t="s">
        <v>193</v>
      </c>
      <c r="D15" s="34" t="s">
        <v>302</v>
      </c>
      <c r="E15" s="34" t="s">
        <v>303</v>
      </c>
      <c r="F15" s="34" t="s">
        <v>304</v>
      </c>
    </row>
    <row r="16" customFormat="false" ht="60" hidden="false" customHeight="true" outlineLevel="0" collapsed="false">
      <c r="A16" s="43" t="s">
        <v>305</v>
      </c>
      <c r="B16" s="34" t="s">
        <v>306</v>
      </c>
      <c r="C16" s="39" t="s">
        <v>193</v>
      </c>
      <c r="D16" s="34" t="s">
        <v>307</v>
      </c>
      <c r="E16" s="34" t="s">
        <v>308</v>
      </c>
      <c r="F16" s="34" t="s">
        <v>309</v>
      </c>
    </row>
    <row r="17" customFormat="false" ht="30" hidden="false" customHeight="true" outlineLevel="0" collapsed="false">
      <c r="A17" s="43" t="s">
        <v>310</v>
      </c>
      <c r="B17" s="34" t="s">
        <v>311</v>
      </c>
      <c r="C17" s="39" t="s">
        <v>193</v>
      </c>
      <c r="D17" s="34" t="s">
        <v>312</v>
      </c>
      <c r="E17" s="34" t="s">
        <v>313</v>
      </c>
      <c r="F17" s="34" t="s">
        <v>314</v>
      </c>
    </row>
    <row r="18" customFormat="false" ht="30" hidden="false" customHeight="true" outlineLevel="0" collapsed="false">
      <c r="A18" s="43" t="s">
        <v>315</v>
      </c>
      <c r="B18" s="34" t="s">
        <v>316</v>
      </c>
      <c r="C18" s="39" t="s">
        <v>193</v>
      </c>
      <c r="D18" s="34" t="s">
        <v>317</v>
      </c>
      <c r="E18" s="34" t="s">
        <v>318</v>
      </c>
      <c r="F18" s="34" t="s">
        <v>319</v>
      </c>
    </row>
    <row r="19" customFormat="false" ht="30" hidden="false" customHeight="true" outlineLevel="0" collapsed="false">
      <c r="A19" s="43" t="s">
        <v>320</v>
      </c>
      <c r="B19" s="34" t="s">
        <v>321</v>
      </c>
      <c r="C19" s="39" t="s">
        <v>193</v>
      </c>
      <c r="D19" s="34" t="s">
        <v>322</v>
      </c>
      <c r="E19" s="34" t="s">
        <v>323</v>
      </c>
      <c r="F19" s="34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2026-06-07T03:17:58Z</dcterms:created>
  <dc:creator>openpyxl</dc:creator>
  <dc:description/>
  <dc:language>en-US</dc:language>
  <cp:lastModifiedBy>Foster, William</cp:lastModifiedBy>
  <dcterms:modified xsi:type="dcterms:W3CDTF">2026-08-30T18:01:53Z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