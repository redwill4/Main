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BITDAR Impact 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<sst xmlns="http://schemas.openxmlformats.org/spreadsheetml/2006/main" count="133" uniqueCount="128">
  <si>
    <t xml:space="preserve">Cherrelyn — EBITDAR Impact Model</t>
  </si>
  <si>
    <t xml:space="preserve">Pro-forma EBITDAR after dropping Part B respiratory (OPP-03), offset by overtime savings (OPP-01/02) and skilled-mix growth. Yellow = inputs (editable); the rest auto-calculates.</t>
  </si>
  <si>
    <t xml:space="preserve">Driver</t>
  </si>
  <si>
    <t xml:space="preserve">Conservative</t>
  </si>
  <si>
    <t xml:space="preserve">Base</t>
  </si>
  <si>
    <t xml:space="preserve">Upside</t>
  </si>
  <si>
    <t xml:space="preserve">Notes / Assumptions</t>
  </si>
  <si>
    <t xml:space="preserve">Baseline EBITDAR (TTM Mar25–Feb26)</t>
  </si>
  <si>
    <t xml:space="preserve">Per Cherrelyn P&amp;L.</t>
  </si>
  <si>
    <t xml:space="preserve">OPP-03  Discontinue Part B respiratory</t>
  </si>
  <si>
    <t xml:space="preserve">  Part B respiratory gross revenue</t>
  </si>
  <si>
    <t xml:space="preserve">4543-0040 O2/Inhalation, gross charges.</t>
  </si>
  <si>
    <t xml:space="preserve">  Net realization % of gross</t>
  </si>
  <si>
    <t xml:space="preserve">Derived: net÷gross Part B ancillary = 42.2%. Confirm actual collection.</t>
  </si>
  <si>
    <t xml:space="preserve">  = Part B net revenue forgone</t>
  </si>
  <si>
    <t xml:space="preserve">The true revenue hit to EBITDAR.</t>
  </si>
  <si>
    <t xml:space="preserve">  Respiratory Therapy dept labor (annual)</t>
  </si>
  <si>
    <t xml:space="preserve">5113 RT labor.</t>
  </si>
  <si>
    <t xml:space="preserve">  RT labor reduction % (redeploy/cut)</t>
  </si>
  <si>
    <t xml:space="preserve">Anchored to Part B = 72% of gross respiratory revenue. Band: 60% keep more RT for complex skilled residents; 80% if Part B was largely standalone volume.</t>
  </si>
  <si>
    <t xml:space="preserve">  = RT cost offset</t>
  </si>
  <si>
    <t xml:space="preserve">Cost removed by winding down.</t>
  </si>
  <si>
    <t xml:space="preserve">  OPP-03 net EBITDAR impact</t>
  </si>
  <si>
    <t xml:space="preserve">Negative = revenue loss net of cost save.</t>
  </si>
  <si>
    <t xml:space="preserve">OPP-01/02  Overtime reduction</t>
  </si>
  <si>
    <t xml:space="preserve">  Overtime savings (premium recovered)</t>
  </si>
  <si>
    <t xml:space="preserve">Building-wide; nursing OT is a subset (not added separately).</t>
  </si>
  <si>
    <t xml:space="preserve">Skilled-mix growth (Medicaid -&gt; Medicare/MA)</t>
  </si>
  <si>
    <t xml:space="preserve">  Incremental skilled census (ADC)</t>
  </si>
  <si>
    <t xml:space="preserve">Added skilled residents/day vs today.</t>
  </si>
  <si>
    <t xml:space="preserve">  Rate differential vs Medicaid ($/day)</t>
  </si>
  <si>
    <t xml:space="preserve">Medicare/MA per diem minus Medicaid. Confirm CO rates.</t>
  </si>
  <si>
    <t xml:space="preserve">  Contribution margin on incremental</t>
  </si>
  <si>
    <t xml:space="preserve">Net of added variable nursing/therapy cost.</t>
  </si>
  <si>
    <t xml:space="preserve">  = Skilled-mix incremental EBITDAR</t>
  </si>
  <si>
    <t xml:space="preserve">ADC x diff x 365 x margin.</t>
  </si>
  <si>
    <t xml:space="preserve">RESULT</t>
  </si>
  <si>
    <t xml:space="preserve">Total annual EBITDAR change</t>
  </si>
  <si>
    <t xml:space="preserve">Pro forma EBITDAR</t>
  </si>
  <si>
    <t xml:space="preserve">   vs. baseline</t>
  </si>
  <si>
    <t xml:space="preserve">Break-even check (OPP-03 offset by skilled mix alone)</t>
  </si>
  <si>
    <t xml:space="preserve">  EBITDAR per added skilled ADC</t>
  </si>
  <si>
    <t xml:space="preserve">Value of one added skilled resident/day.</t>
  </si>
  <si>
    <t xml:space="preserve">  Break-even skilled ADC to offset OPP-03</t>
  </si>
  <si>
    <t xml:space="preserve">Added skilled residents/day that fully cover the Part B exit, before any OT savings.</t>
  </si>
  <si>
    <t xml:space="preserve">Assumptions &amp; caveats:</t>
  </si>
  <si>
    <t xml:space="preserve">• $1.74M Part B respiratory is GROSS charges; EBITDAR moves with NET realized revenue (~42% default). Set realization to 100% to see the gross-impact bound.</t>
  </si>
  <si>
    <t xml:space="preserve">• OPP-02 (nursing OT 15.3%) is a subset of OPP-01 (building OT 11.3%); overtime savings entered once to avoid double-counting.</t>
  </si>
  <si>
    <t xml:space="preserve">• RT labor reduction is tied to Part B's 72% share of gross respiratory revenue (Base). Confirm against the RT staffing roster; retained RT serves Part A/skilled residents and earns no separate revenue (bundled in PPS).</t>
  </si>
  <si>
    <t xml:space="preserve">• Skilled-mix lever needs census &amp; Colorado Medicaid/Medicare rates to firm up — placeholders are planning values, flagged to confirm Day One.</t>
  </si>
  <si>
    <t xml:space="preserve">• Excludes one-time wind-down costs (e.g., RT severance) and assumes medically necessary respiratory care continues under bundled Part A billing.</t>
  </si>
  <si>
    <t xml:space="preserve">DILIGENCE ADDENDUM  —  added 8/30/26 from the acquisition P&amp;L (601ch, Mar25–Feb26), census file, CO135 case-mix listing and CMS 2567</t>
  </si>
  <si>
    <t xml:space="preserve">A.  Part B respiratory is ACCELERATING — the TTM basis understates the exit</t>
  </si>
  <si>
    <t xml:space="preserve">Monthly gross 4543-0040 rose from $93,700 (Sep 25) to $284,775 (Feb 26). Blended Part B realization is stable at 42.1–42.3%, so the rate in B8 is sound; the BASIS is not.</t>
  </si>
  <si>
    <t xml:space="preserve">Basis for Part B respiratory gross</t>
  </si>
  <si>
    <t xml:space="preserve">Gross</t>
  </si>
  <si>
    <t xml:space="preserve">Net @ B8</t>
  </si>
  <si>
    <t xml:space="preserve">vs TTM</t>
  </si>
  <si>
    <t xml:space="preserve">Note</t>
  </si>
  <si>
    <t xml:space="preserve">  TTM Mar25–Feb26 (model B7)</t>
  </si>
  <si>
    <t xml:space="preserve">What the model uses today.</t>
  </si>
  <si>
    <t xml:space="preserve">  Last 6 months annualized</t>
  </si>
  <si>
    <t xml:space="preserve">Sep 25 – Feb 26.</t>
  </si>
  <si>
    <t xml:space="preserve">  Last 3 months annualized</t>
  </si>
  <si>
    <t xml:space="preserve">Dec 25 – Feb 26.</t>
  </si>
  <si>
    <t xml:space="preserve">  Last 2 months annualized</t>
  </si>
  <si>
    <t xml:space="preserve">Jan–Feb 26. Closest to the Day-1 run-rate.</t>
  </si>
  <si>
    <t xml:space="preserve">  Understatement in the current model, at the 2-month run-rate</t>
  </si>
  <si>
    <t xml:space="preserve">EBITDAR hit is up to this much LARGER than rows 9/13 show. Bigger than the entire OT lever.</t>
  </si>
  <si>
    <t xml:space="preserve">B.  Scope question — respiratory is only 59% of the Part B book</t>
  </si>
  <si>
    <t xml:space="preserve">  Part B gross — respiratory (4543-0040)</t>
  </si>
  <si>
    <t xml:space="preserve">  Part B gross — PT/OT/ST (4544/4545/4546-0040)</t>
  </si>
  <si>
    <t xml:space="preserve">  Total Part B gross</t>
  </si>
  <si>
    <t xml:space="preserve">  Therapy Part B net at same realization</t>
  </si>
  <si>
    <t xml:space="preserve">If the compliance concern is Part B billing generally rather than respiratory specifically, this is additional exposure — decide the scope before Day 1.</t>
  </si>
  <si>
    <t xml:space="preserve">C.  Overtime base is now known — and it is 5.8x the figure the plan named</t>
  </si>
  <si>
    <t xml:space="preserve">  Building overtime, all departments (-1105 accounts)</t>
  </si>
  <si>
    <t xml:space="preserve">  Building normal pay (-1005 accounts)</t>
  </si>
  <si>
    <t xml:space="preserve">  Building OT as % of worked payroll</t>
  </si>
  <si>
    <t xml:space="preserve">Plan stated 11.3% — confirmed.</t>
  </si>
  <si>
    <t xml:space="preserve">  Nursing-subset overtime</t>
  </si>
  <si>
    <t xml:space="preserve">Plan stated 15.3% — confirmed.</t>
  </si>
  <si>
    <t xml:space="preserve">  of which: CNA overtime (largest single line)</t>
  </si>
  <si>
    <t xml:space="preserve">  of which: director OT (5111+5140) — the only OT the prior plan named</t>
  </si>
  <si>
    <t xml:space="preserve">  OT premium component (the 0.5x recoverable half)</t>
  </si>
  <si>
    <t xml:space="preserve">  Model OT assumptions as % of the OT premium</t>
  </si>
  <si>
    <t xml:space="preserve">Upside asks for 73% of the entire premium — aggressive. Conservative/Base are defensible.</t>
  </si>
  <si>
    <t xml:space="preserve">D.  Skilled census has ALREADY moved past the Upside case</t>
  </si>
  <si>
    <t xml:space="preserve">  Skilled ADC embedded in the P&amp;L (TTM, census file Medicare A + MA days)</t>
  </si>
  <si>
    <t xml:space="preserve">  Skilled ADC, 2026 Q1 actual</t>
  </si>
  <si>
    <t xml:space="preserve">  Incremental ADC already achieved</t>
  </si>
  <si>
    <t xml:space="preserve">Exceeds the Upside input in D17 (+6). Against the TTM baseline the lever is HOLDING this census, not adding to it.</t>
  </si>
  <si>
    <t xml:space="preserve">  Annual value at model assumptions (B18/B19)</t>
  </si>
  <si>
    <t xml:space="preserve">  Implied Medicare A per diem from P&amp;L ÷ census days</t>
  </si>
  <si>
    <t xml:space="preserve">  Implied Medicaid per diem from P&amp;L ÷ census days</t>
  </si>
  <si>
    <t xml:space="preserve">CAUTION: implied differential is roughly zero, not the $400 in B18 — Medicaid here carries a settlement lump and the Medicare A line is net of bad-debt coinsurance. Confirm real rates before banking row 20.</t>
  </si>
  <si>
    <t xml:space="preserve">E.  Fourth lever the model omits — Medicaid case-mix capture</t>
  </si>
  <si>
    <t xml:space="preserve">  Avg CMI 1.7143 (162 residents); 36 residents (22.2%) below a 1.20 index; MDS RN labor only $12,399/yr</t>
  </si>
  <si>
    <t xml:space="preserve">  Medicaid days per year (census file)</t>
  </si>
  <si>
    <t xml:space="preserve">  Illustrative CMI uplift</t>
  </si>
  <si>
    <t xml:space="preserve">  Nursing component as share of Medicaid per diem</t>
  </si>
  <si>
    <t xml:space="preserve">  = Illustrative annual value</t>
  </si>
  <si>
    <t xml:space="preserve">PLACEHOLDER — needs the Colorado nursing-component rate. Do not bank; sized only to show it rivals the OT lever.</t>
  </si>
  <si>
    <t xml:space="preserve">F.  REVISED BRIDGE — same levers, Part B restated to the 2-month run-rate</t>
  </si>
  <si>
    <t xml:space="preserve">  Baseline EBITDAR</t>
  </si>
  <si>
    <t xml:space="preserve">  Part B respiratory net forgone — run-rate basis</t>
  </si>
  <si>
    <t xml:space="preserve">Conservative uses the 3-month basis; Base and Upside use the 2-month run-rate.</t>
  </si>
  <si>
    <t xml:space="preserve">  RT cost offset</t>
  </si>
  <si>
    <t xml:space="preserve">  Overtime savings</t>
  </si>
  <si>
    <t xml:space="preserve">  Skilled mix — HOLD the recovered census</t>
  </si>
  <si>
    <t xml:space="preserve">Fraction of the +8.6 ADC already achieved that survives the year. Replaces rows 17–20.</t>
  </si>
  <si>
    <t xml:space="preserve">  Case-mix capture</t>
  </si>
  <si>
    <t xml:space="preserve">Excluded from Conservative entirely.</t>
  </si>
  <si>
    <t xml:space="preserve">  Total EBITDAR change</t>
  </si>
  <si>
    <t xml:space="preserve">  Revised pro-forma EBITDAR</t>
  </si>
  <si>
    <t xml:space="preserve">  Memo: original model pro forma (rows 24)</t>
  </si>
  <si>
    <t xml:space="preserve">  Difference vs original</t>
  </si>
  <si>
    <t xml:space="preserve">G.  Risks to the bridge (quantified where the data allows)</t>
  </si>
  <si>
    <t xml:space="preserve">  Private-pay erosion: 4,795 days (CY23) → 3,529 (TTM) = −1,266 days at $406 implied ADR</t>
  </si>
  <si>
    <t xml:space="preserve">Masked by Medicaid backfill — occupancy never moved.</t>
  </si>
  <si>
    <t xml:space="preserve">  Bad debt (5090-4999)</t>
  </si>
  <si>
    <t xml:space="preserve">~1.8% of revenue.</t>
  </si>
  <si>
    <t xml:space="preserve">  Survey: 2567 of 1/30/25 — 5 tags, F880 infection control at scope E; recert 19 months out and overdue</t>
  </si>
  <si>
    <t xml:space="preserve">An admissions hold would hit the skilled census this bridge depends on.</t>
  </si>
  <si>
    <t xml:space="preserve">  Turnover conflict: facility profile 37.4% vs prior 100-day plan 61% — reconcile before banking OT savings</t>
  </si>
  <si>
    <t xml:space="preserve">  Admin bonus pool (5110-1230)</t>
  </si>
  <si>
    <t xml:space="preserve">Re-point at OT and skilled-mix targets.</t>
  </si>
  <si>
    <t xml:space="preserve">  No agency/contract-nursing account exists in the GL — OT is how this building flexes. Confirm Day 1.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</si>
</sst>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"/>
    <numFmt numFmtId="166" formatCode="0.0%"/>
    <numFmt numFmtId="167" formatCode="#,##0"/>
    <numFmt numFmtId="168" formatCode="0.0"/>
    <numFmt numFmtId="169" formatCode="\$#,##0;&quot;($&quot;#,##0\)"/>
    <numFmt numFmtId="170" formatCode="\$#,##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Cambria"/>
      <family val="0"/>
      <charset val="1"/>
    </font>
    <font>
      <i val="true"/>
      <sz val="10"/>
      <color rgb="FF59595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sz val="11"/>
      <color rgb="FF0000FF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E4"/>
      </patternFill>
    </fill>
    <fill>
      <patternFill patternType="solid">
        <fgColor rgb="FFF2F2F2"/>
        <bgColor rgb="FFDEEBF7"/>
      </patternFill>
    </fill>
    <fill>
      <patternFill patternType="solid">
        <fgColor rgb="FFDEEBF7"/>
        <bgColor rgb="FFD9E2F3"/>
      </patternFill>
    </fill>
    <fill>
      <patternFill patternType="solid">
        <fgColor rgb="FFD9E2F3"/>
        <bgColor rgb="FFDEEBF7"/>
      </patternFill>
    </fill>
    <fill>
      <patternFill patternType="solid">
        <fgColor rgb="FFFCE4E4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3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5"/>
    <col collapsed="false" customWidth="true" hidden="false" outlineLevel="0" max="5" min="5" style="0" width="5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v>2616869</v>
      </c>
      <c r="C5" s="5" t="n">
        <v>2616869</v>
      </c>
      <c r="D5" s="5" t="n">
        <v>2616869</v>
      </c>
      <c r="E5" s="4" t="s">
        <v>8</v>
      </c>
    </row>
    <row r="6" customFormat="false" ht="15" hidden="false" customHeight="false" outlineLevel="0" collapsed="false">
      <c r="A6" s="6" t="s">
        <v>9</v>
      </c>
    </row>
    <row r="7" customFormat="false" ht="15" hidden="false" customHeight="false" outlineLevel="0" collapsed="false">
      <c r="A7" s="4" t="s">
        <v>10</v>
      </c>
      <c r="B7" s="5" t="n">
        <v>1742597</v>
      </c>
      <c r="C7" s="5" t="n">
        <v>1742597</v>
      </c>
      <c r="D7" s="5" t="n">
        <v>1742597</v>
      </c>
      <c r="E7" s="4" t="s">
        <v>11</v>
      </c>
    </row>
    <row r="8" customFormat="false" ht="28.35" hidden="false" customHeight="false" outlineLevel="0" collapsed="false">
      <c r="A8" s="4" t="s">
        <v>12</v>
      </c>
      <c r="B8" s="7" t="n">
        <v>0.422</v>
      </c>
      <c r="C8" s="7" t="n">
        <v>0.422</v>
      </c>
      <c r="D8" s="7" t="n">
        <v>0.422</v>
      </c>
      <c r="E8" s="4" t="s">
        <v>13</v>
      </c>
    </row>
    <row r="9" customFormat="false" ht="15" hidden="false" customHeight="false" outlineLevel="0" collapsed="false">
      <c r="A9" s="4" t="s">
        <v>14</v>
      </c>
      <c r="B9" s="8" t="n">
        <f aca="false">-B7*B8</f>
        <v>-735375.934</v>
      </c>
      <c r="C9" s="8" t="n">
        <f aca="false">-C7*C8</f>
        <v>-735375.934</v>
      </c>
      <c r="D9" s="8" t="n">
        <f aca="false">-D7*D8</f>
        <v>-735375.934</v>
      </c>
      <c r="E9" s="4" t="s">
        <v>15</v>
      </c>
    </row>
    <row r="10" customFormat="false" ht="15" hidden="false" customHeight="false" outlineLevel="0" collapsed="false">
      <c r="A10" s="4" t="s">
        <v>16</v>
      </c>
      <c r="B10" s="5" t="n">
        <v>347318</v>
      </c>
      <c r="C10" s="5" t="n">
        <v>347318</v>
      </c>
      <c r="D10" s="5" t="n">
        <v>347318</v>
      </c>
      <c r="E10" s="4" t="s">
        <v>17</v>
      </c>
    </row>
    <row r="11" customFormat="false" ht="41.75" hidden="false" customHeight="false" outlineLevel="0" collapsed="false">
      <c r="A11" s="4" t="s">
        <v>18</v>
      </c>
      <c r="B11" s="7" t="n">
        <v>0.6</v>
      </c>
      <c r="C11" s="7" t="n">
        <v>0.72</v>
      </c>
      <c r="D11" s="7" t="n">
        <v>0.8</v>
      </c>
      <c r="E11" s="4" t="s">
        <v>19</v>
      </c>
    </row>
    <row r="12" customFormat="false" ht="15" hidden="false" customHeight="false" outlineLevel="0" collapsed="false">
      <c r="A12" s="4" t="s">
        <v>20</v>
      </c>
      <c r="B12" s="8" t="n">
        <f aca="false">B10*B11</f>
        <v>208390.8</v>
      </c>
      <c r="C12" s="8" t="n">
        <f aca="false">C10*C11</f>
        <v>250068.96</v>
      </c>
      <c r="D12" s="8" t="n">
        <f aca="false">D10*D11</f>
        <v>277854.4</v>
      </c>
      <c r="E12" s="4" t="s">
        <v>21</v>
      </c>
    </row>
    <row r="13" customFormat="false" ht="15" hidden="false" customHeight="false" outlineLevel="0" collapsed="false">
      <c r="A13" s="4" t="s">
        <v>22</v>
      </c>
      <c r="B13" s="8" t="n">
        <f aca="false">B9+B12</f>
        <v>-526985.134</v>
      </c>
      <c r="C13" s="8" t="n">
        <f aca="false">C9+C12</f>
        <v>-485306.974</v>
      </c>
      <c r="D13" s="8" t="n">
        <f aca="false">D9+D12</f>
        <v>-457521.534</v>
      </c>
      <c r="E13" s="4" t="s">
        <v>23</v>
      </c>
    </row>
    <row r="14" customFormat="false" ht="15" hidden="false" customHeight="false" outlineLevel="0" collapsed="false">
      <c r="A14" s="6" t="s">
        <v>24</v>
      </c>
    </row>
    <row r="15" customFormat="false" ht="15" hidden="false" customHeight="false" outlineLevel="0" collapsed="false">
      <c r="A15" s="4" t="s">
        <v>25</v>
      </c>
      <c r="B15" s="5" t="n">
        <v>150000</v>
      </c>
      <c r="C15" s="5" t="n">
        <v>250000</v>
      </c>
      <c r="D15" s="5" t="n">
        <v>350000</v>
      </c>
      <c r="E15" s="4" t="s">
        <v>26</v>
      </c>
    </row>
    <row r="16" customFormat="false" ht="15" hidden="false" customHeight="false" outlineLevel="0" collapsed="false">
      <c r="A16" s="6" t="s">
        <v>27</v>
      </c>
    </row>
    <row r="17" customFormat="false" ht="15" hidden="false" customHeight="false" outlineLevel="0" collapsed="false">
      <c r="A17" s="4" t="s">
        <v>28</v>
      </c>
      <c r="B17" s="9" t="n">
        <v>2</v>
      </c>
      <c r="C17" s="9" t="n">
        <v>4</v>
      </c>
      <c r="D17" s="9" t="n">
        <v>6</v>
      </c>
      <c r="E17" s="4" t="s">
        <v>29</v>
      </c>
    </row>
    <row r="18" customFormat="false" ht="15" hidden="false" customHeight="false" outlineLevel="0" collapsed="false">
      <c r="A18" s="4" t="s">
        <v>30</v>
      </c>
      <c r="B18" s="5" t="n">
        <v>400</v>
      </c>
      <c r="C18" s="5" t="n">
        <v>400</v>
      </c>
      <c r="D18" s="5" t="n">
        <v>400</v>
      </c>
      <c r="E18" s="4" t="s">
        <v>31</v>
      </c>
    </row>
    <row r="19" customFormat="false" ht="15" hidden="false" customHeight="false" outlineLevel="0" collapsed="false">
      <c r="A19" s="4" t="s">
        <v>32</v>
      </c>
      <c r="B19" s="7" t="n">
        <v>0.65</v>
      </c>
      <c r="C19" s="7" t="n">
        <v>0.65</v>
      </c>
      <c r="D19" s="7" t="n">
        <v>0.65</v>
      </c>
      <c r="E19" s="4" t="s">
        <v>33</v>
      </c>
    </row>
    <row r="20" customFormat="false" ht="15" hidden="false" customHeight="false" outlineLevel="0" collapsed="false">
      <c r="A20" s="4" t="s">
        <v>34</v>
      </c>
      <c r="B20" s="8" t="n">
        <f aca="false">B17*B18*365*B19</f>
        <v>189800</v>
      </c>
      <c r="C20" s="8" t="n">
        <f aca="false">C17*C18*365*C19</f>
        <v>379600</v>
      </c>
      <c r="D20" s="8" t="n">
        <f aca="false">D17*D18*365*D19</f>
        <v>569400</v>
      </c>
      <c r="E20" s="4" t="s">
        <v>35</v>
      </c>
    </row>
    <row r="22" customFormat="false" ht="15" hidden="false" customHeight="false" outlineLevel="0" collapsed="false">
      <c r="A22" s="6" t="s">
        <v>36</v>
      </c>
    </row>
    <row r="23" customFormat="false" ht="15" hidden="false" customHeight="false" outlineLevel="0" collapsed="false">
      <c r="A23" s="4" t="s">
        <v>37</v>
      </c>
      <c r="B23" s="10" t="n">
        <f aca="false">B13+B15+B20</f>
        <v>-187185.134</v>
      </c>
      <c r="C23" s="10" t="n">
        <f aca="false">C13+C15+C20</f>
        <v>144293.026</v>
      </c>
      <c r="D23" s="10" t="n">
        <f aca="false">D13+D15+D20</f>
        <v>461878.466</v>
      </c>
    </row>
    <row r="24" customFormat="false" ht="15" hidden="false" customHeight="false" outlineLevel="0" collapsed="false">
      <c r="A24" s="4" t="s">
        <v>38</v>
      </c>
      <c r="B24" s="10" t="n">
        <f aca="false">B5+B23</f>
        <v>2429683.866</v>
      </c>
      <c r="C24" s="10" t="n">
        <f aca="false">C5+C23</f>
        <v>2761162.026</v>
      </c>
      <c r="D24" s="10" t="n">
        <f aca="false">D5+D23</f>
        <v>3078747.466</v>
      </c>
    </row>
    <row r="25" customFormat="false" ht="15" hidden="false" customHeight="false" outlineLevel="0" collapsed="false">
      <c r="A25" s="4" t="s">
        <v>39</v>
      </c>
      <c r="B25" s="10" t="n">
        <f aca="false">B24-B5</f>
        <v>-187185.134</v>
      </c>
      <c r="C25" s="10" t="n">
        <f aca="false">C24-C5</f>
        <v>144293.026</v>
      </c>
      <c r="D25" s="10" t="n">
        <f aca="false">D24-D5</f>
        <v>461878.466</v>
      </c>
    </row>
    <row r="26" customFormat="false" ht="15" hidden="false" customHeight="false" outlineLevel="0" collapsed="false">
      <c r="A26" s="6" t="s">
        <v>40</v>
      </c>
    </row>
    <row r="27" customFormat="false" ht="15" hidden="false" customHeight="false" outlineLevel="0" collapsed="false">
      <c r="A27" s="4" t="s">
        <v>41</v>
      </c>
      <c r="B27" s="8" t="n">
        <f aca="false">B18*365*B19</f>
        <v>94900</v>
      </c>
      <c r="C27" s="8" t="n">
        <f aca="false">C18*365*C19</f>
        <v>94900</v>
      </c>
      <c r="D27" s="8" t="n">
        <f aca="false">D18*365*D19</f>
        <v>94900</v>
      </c>
      <c r="E27" s="4" t="s">
        <v>42</v>
      </c>
    </row>
    <row r="28" customFormat="false" ht="28.35" hidden="false" customHeight="false" outlineLevel="0" collapsed="false">
      <c r="A28" s="4" t="s">
        <v>43</v>
      </c>
      <c r="B28" s="11" t="n">
        <f aca="false">-B13/B27</f>
        <v>5.55305726027397</v>
      </c>
      <c r="C28" s="11" t="n">
        <f aca="false">-C13/C27</f>
        <v>5.11387749209695</v>
      </c>
      <c r="D28" s="11" t="n">
        <f aca="false">-D13/D27</f>
        <v>4.82109097997893</v>
      </c>
      <c r="E28" s="4" t="s">
        <v>44</v>
      </c>
    </row>
    <row r="30" customFormat="false" ht="15" hidden="false" customHeight="false" outlineLevel="0" collapsed="false">
      <c r="A30" s="12" t="s">
        <v>45</v>
      </c>
    </row>
    <row r="31" customFormat="false" ht="32.8" hidden="false" customHeight="false" outlineLevel="0" collapsed="false">
      <c r="A31" s="13" t="s">
        <v>46</v>
      </c>
    </row>
    <row r="32" customFormat="false" ht="32.8" hidden="false" customHeight="false" outlineLevel="0" collapsed="false">
      <c r="A32" s="13" t="s">
        <v>47</v>
      </c>
    </row>
    <row r="33" customFormat="false" ht="43.25" hidden="false" customHeight="false" outlineLevel="0" collapsed="false">
      <c r="A33" s="13" t="s">
        <v>48</v>
      </c>
    </row>
    <row r="34" customFormat="false" ht="32.8" hidden="false" customHeight="false" outlineLevel="0" collapsed="false">
      <c r="A34" s="13" t="s">
        <v>49</v>
      </c>
    </row>
    <row r="35" customFormat="false" ht="32.8" hidden="false" customHeight="false" outlineLevel="0" collapsed="false">
      <c r="A35" s="13" t="s">
        <v>50</v>
      </c>
    </row>
    <row r="37" customFormat="false" ht="15" hidden="false" customHeight="false" outlineLevel="0" collapsed="false">
      <c r="A37" s="14" t="s">
        <v>51</v>
      </c>
      <c r="B37" s="15"/>
      <c r="C37" s="15"/>
      <c r="D37" s="15"/>
      <c r="E37" s="15"/>
    </row>
    <row r="39" customFormat="false" ht="15" hidden="false" customHeight="false" outlineLevel="0" collapsed="false">
      <c r="A39" s="16" t="s">
        <v>52</v>
      </c>
      <c r="B39" s="17"/>
      <c r="C39" s="17"/>
      <c r="D39" s="17"/>
      <c r="E39" s="17"/>
    </row>
    <row r="40" customFormat="false" ht="15" hidden="false" customHeight="false" outlineLevel="0" collapsed="false">
      <c r="A40" s="18" t="s">
        <v>53</v>
      </c>
    </row>
    <row r="41" customFormat="false" ht="15" hidden="false" customHeight="false" outlineLevel="0" collapsed="false">
      <c r="A41" s="19" t="s">
        <v>54</v>
      </c>
      <c r="B41" s="19" t="s">
        <v>55</v>
      </c>
      <c r="C41" s="19" t="s">
        <v>56</v>
      </c>
      <c r="D41" s="19" t="s">
        <v>57</v>
      </c>
      <c r="E41" s="19" t="s">
        <v>58</v>
      </c>
    </row>
    <row r="42" customFormat="false" ht="15" hidden="false" customHeight="false" outlineLevel="0" collapsed="false">
      <c r="A42" s="20" t="s">
        <v>59</v>
      </c>
      <c r="B42" s="21" t="n">
        <v>1742597</v>
      </c>
      <c r="C42" s="22" t="n">
        <f aca="false">B42*$B$8</f>
        <v>735375.934</v>
      </c>
      <c r="D42" s="22" t="n">
        <f aca="false">C42-$C$42</f>
        <v>0</v>
      </c>
      <c r="E42" s="23" t="s">
        <v>60</v>
      </c>
    </row>
    <row r="43" customFormat="false" ht="15" hidden="false" customHeight="false" outlineLevel="0" collapsed="false">
      <c r="A43" s="20" t="s">
        <v>61</v>
      </c>
      <c r="B43" s="21" t="n">
        <v>2064100</v>
      </c>
      <c r="C43" s="22" t="n">
        <f aca="false">B43*$B$8</f>
        <v>871050.2</v>
      </c>
      <c r="D43" s="22" t="n">
        <f aca="false">C43-$C$42</f>
        <v>135674.266</v>
      </c>
      <c r="E43" s="23" t="s">
        <v>62</v>
      </c>
    </row>
    <row r="44" customFormat="false" ht="15" hidden="false" customHeight="false" outlineLevel="0" collapsed="false">
      <c r="A44" s="20" t="s">
        <v>63</v>
      </c>
      <c r="B44" s="21" t="n">
        <v>2705400</v>
      </c>
      <c r="C44" s="22" t="n">
        <f aca="false">B44*$B$8</f>
        <v>1141678.8</v>
      </c>
      <c r="D44" s="22" t="n">
        <f aca="false">C44-$C$42</f>
        <v>406302.866</v>
      </c>
      <c r="E44" s="23" t="s">
        <v>64</v>
      </c>
    </row>
    <row r="45" customFormat="false" ht="15" hidden="false" customHeight="false" outlineLevel="0" collapsed="false">
      <c r="A45" s="20" t="s">
        <v>65</v>
      </c>
      <c r="B45" s="21" t="n">
        <v>3138750</v>
      </c>
      <c r="C45" s="22" t="n">
        <f aca="false">B45*$B$8</f>
        <v>1324552.5</v>
      </c>
      <c r="D45" s="22" t="n">
        <f aca="false">C45-$C$42</f>
        <v>589176.566</v>
      </c>
      <c r="E45" s="23" t="s">
        <v>66</v>
      </c>
    </row>
    <row r="46" customFormat="false" ht="28.35" hidden="false" customHeight="false" outlineLevel="0" collapsed="false">
      <c r="A46" s="19" t="s">
        <v>67</v>
      </c>
      <c r="D46" s="24" t="n">
        <f aca="false">C45-C42</f>
        <v>589176.566</v>
      </c>
      <c r="E46" s="23" t="s">
        <v>68</v>
      </c>
    </row>
    <row r="48" customFormat="false" ht="15" hidden="false" customHeight="false" outlineLevel="0" collapsed="false">
      <c r="A48" s="16" t="s">
        <v>69</v>
      </c>
      <c r="B48" s="17"/>
      <c r="C48" s="17"/>
      <c r="D48" s="17"/>
      <c r="E48" s="17"/>
    </row>
    <row r="49" customFormat="false" ht="15" hidden="false" customHeight="false" outlineLevel="0" collapsed="false">
      <c r="A49" s="20" t="s">
        <v>70</v>
      </c>
      <c r="B49" s="21" t="n">
        <v>1742597</v>
      </c>
      <c r="D49" s="25" t="n">
        <f aca="false">B49/$B$51</f>
        <v>0.592521150212497</v>
      </c>
    </row>
    <row r="50" customFormat="false" ht="15" hidden="false" customHeight="false" outlineLevel="0" collapsed="false">
      <c r="A50" s="20" t="s">
        <v>71</v>
      </c>
      <c r="B50" s="21" t="n">
        <v>1198390</v>
      </c>
      <c r="D50" s="25" t="n">
        <f aca="false">B50/$B$51</f>
        <v>0.407478849787503</v>
      </c>
    </row>
    <row r="51" customFormat="false" ht="15" hidden="false" customHeight="false" outlineLevel="0" collapsed="false">
      <c r="A51" s="19" t="s">
        <v>72</v>
      </c>
      <c r="B51" s="26" t="n">
        <f aca="false">B49+B50</f>
        <v>2940987</v>
      </c>
    </row>
    <row r="52" customFormat="false" ht="41.75" hidden="false" customHeight="false" outlineLevel="0" collapsed="false">
      <c r="A52" s="20" t="s">
        <v>73</v>
      </c>
      <c r="C52" s="22" t="n">
        <f aca="false">B50*$B$8</f>
        <v>505720.58</v>
      </c>
      <c r="E52" s="23" t="s">
        <v>74</v>
      </c>
    </row>
    <row r="54" customFormat="false" ht="15" hidden="false" customHeight="false" outlineLevel="0" collapsed="false">
      <c r="A54" s="16" t="s">
        <v>75</v>
      </c>
      <c r="B54" s="17"/>
      <c r="C54" s="17"/>
      <c r="D54" s="17"/>
      <c r="E54" s="17"/>
    </row>
    <row r="55" customFormat="false" ht="15" hidden="false" customHeight="false" outlineLevel="0" collapsed="false">
      <c r="A55" s="20" t="s">
        <v>76</v>
      </c>
      <c r="B55" s="21" t="n">
        <v>1355761</v>
      </c>
    </row>
    <row r="56" customFormat="false" ht="15" hidden="false" customHeight="false" outlineLevel="0" collapsed="false">
      <c r="A56" s="20" t="s">
        <v>77</v>
      </c>
      <c r="B56" s="21" t="n">
        <v>10454987</v>
      </c>
    </row>
    <row r="57" customFormat="false" ht="15" hidden="false" customHeight="false" outlineLevel="0" collapsed="false">
      <c r="A57" s="20" t="s">
        <v>78</v>
      </c>
      <c r="C57" s="25" t="n">
        <f aca="false">B55/(B55+B56)</f>
        <v>0.114790443416454</v>
      </c>
      <c r="E57" s="20" t="s">
        <v>79</v>
      </c>
    </row>
    <row r="58" customFormat="false" ht="15" hidden="false" customHeight="false" outlineLevel="0" collapsed="false">
      <c r="A58" s="20" t="s">
        <v>80</v>
      </c>
      <c r="B58" s="21" t="n">
        <v>1117862</v>
      </c>
      <c r="C58" s="25" t="n">
        <f aca="false">B58/(B58+6035723)</f>
        <v>0.156265984118453</v>
      </c>
      <c r="E58" s="20" t="s">
        <v>81</v>
      </c>
    </row>
    <row r="59" customFormat="false" ht="15" hidden="false" customHeight="false" outlineLevel="0" collapsed="false">
      <c r="A59" s="20" t="s">
        <v>82</v>
      </c>
      <c r="B59" s="21" t="n">
        <v>452339</v>
      </c>
      <c r="C59" s="25" t="n">
        <f aca="false">B59/B55</f>
        <v>0.333642138990574</v>
      </c>
    </row>
    <row r="60" customFormat="false" ht="15" hidden="false" customHeight="false" outlineLevel="0" collapsed="false">
      <c r="A60" s="20" t="s">
        <v>83</v>
      </c>
      <c r="B60" s="21" t="n">
        <v>234288</v>
      </c>
      <c r="C60" s="25" t="n">
        <f aca="false">B60/B55</f>
        <v>0.172809219324055</v>
      </c>
    </row>
    <row r="61" customFormat="false" ht="15" hidden="false" customHeight="false" outlineLevel="0" collapsed="false">
      <c r="A61" s="20" t="s">
        <v>84</v>
      </c>
      <c r="B61" s="22" t="n">
        <f aca="false">B55/3</f>
        <v>451920.333333333</v>
      </c>
    </row>
    <row r="62" customFormat="false" ht="28.35" hidden="false" customHeight="false" outlineLevel="0" collapsed="false">
      <c r="A62" s="19" t="s">
        <v>85</v>
      </c>
      <c r="B62" s="25" t="n">
        <f aca="false">B15/$B$61</f>
        <v>0.33191690865868</v>
      </c>
      <c r="C62" s="25" t="n">
        <f aca="false">C15/$B$61</f>
        <v>0.553194847764466</v>
      </c>
      <c r="D62" s="25" t="n">
        <f aca="false">D15/$B$61</f>
        <v>0.774472786870252</v>
      </c>
      <c r="E62" s="23" t="s">
        <v>86</v>
      </c>
    </row>
    <row r="64" customFormat="false" ht="15" hidden="false" customHeight="false" outlineLevel="0" collapsed="false">
      <c r="A64" s="16" t="s">
        <v>87</v>
      </c>
      <c r="B64" s="17"/>
      <c r="C64" s="17"/>
      <c r="D64" s="17"/>
      <c r="E64" s="17"/>
    </row>
    <row r="65" customFormat="false" ht="15" hidden="false" customHeight="false" outlineLevel="0" collapsed="false">
      <c r="A65" s="20" t="s">
        <v>88</v>
      </c>
      <c r="B65" s="27" t="n">
        <v>13.4</v>
      </c>
    </row>
    <row r="66" customFormat="false" ht="15" hidden="false" customHeight="false" outlineLevel="0" collapsed="false">
      <c r="A66" s="20" t="s">
        <v>89</v>
      </c>
      <c r="B66" s="27" t="n">
        <v>22</v>
      </c>
    </row>
    <row r="67" customFormat="false" ht="28.35" hidden="false" customHeight="false" outlineLevel="0" collapsed="false">
      <c r="A67" s="19" t="s">
        <v>90</v>
      </c>
      <c r="B67" s="28" t="n">
        <f aca="false">B66-B65</f>
        <v>8.6</v>
      </c>
      <c r="E67" s="23" t="s">
        <v>91</v>
      </c>
    </row>
    <row r="68" customFormat="false" ht="15" hidden="false" customHeight="false" outlineLevel="0" collapsed="false">
      <c r="A68" s="20" t="s">
        <v>92</v>
      </c>
      <c r="B68" s="26" t="n">
        <f aca="false">B67*$B$18*365*$B$19</f>
        <v>816140</v>
      </c>
    </row>
    <row r="69" customFormat="false" ht="15" hidden="false" customHeight="false" outlineLevel="0" collapsed="false">
      <c r="A69" s="20" t="s">
        <v>93</v>
      </c>
      <c r="B69" s="29" t="n">
        <v>383</v>
      </c>
    </row>
    <row r="70" customFormat="false" ht="55.2" hidden="false" customHeight="false" outlineLevel="0" collapsed="false">
      <c r="A70" s="20" t="s">
        <v>94</v>
      </c>
      <c r="B70" s="29" t="n">
        <v>393</v>
      </c>
      <c r="E70" s="23" t="s">
        <v>95</v>
      </c>
    </row>
    <row r="72" customFormat="false" ht="15" hidden="false" customHeight="false" outlineLevel="0" collapsed="false">
      <c r="A72" s="16" t="s">
        <v>96</v>
      </c>
      <c r="B72" s="17"/>
      <c r="C72" s="17"/>
      <c r="D72" s="17"/>
      <c r="E72" s="17"/>
    </row>
    <row r="73" customFormat="false" ht="15" hidden="false" customHeight="false" outlineLevel="0" collapsed="false">
      <c r="A73" s="18" t="s">
        <v>97</v>
      </c>
    </row>
    <row r="74" customFormat="false" ht="15" hidden="false" customHeight="false" outlineLevel="0" collapsed="false">
      <c r="A74" s="20" t="s">
        <v>98</v>
      </c>
      <c r="B74" s="30" t="n">
        <v>54326</v>
      </c>
    </row>
    <row r="75" customFormat="false" ht="15" hidden="false" customHeight="false" outlineLevel="0" collapsed="false">
      <c r="A75" s="20" t="s">
        <v>99</v>
      </c>
      <c r="B75" s="31" t="n">
        <v>0.05</v>
      </c>
    </row>
    <row r="76" customFormat="false" ht="15" hidden="false" customHeight="false" outlineLevel="0" collapsed="false">
      <c r="A76" s="20" t="s">
        <v>100</v>
      </c>
      <c r="B76" s="32" t="n">
        <v>0.5</v>
      </c>
    </row>
    <row r="77" customFormat="false" ht="28.35" hidden="false" customHeight="false" outlineLevel="0" collapsed="false">
      <c r="A77" s="19" t="s">
        <v>101</v>
      </c>
      <c r="B77" s="26" t="n">
        <f aca="false">B75/1.7001*B76*B70*B74</f>
        <v>313953.85565555</v>
      </c>
      <c r="E77" s="23" t="s">
        <v>102</v>
      </c>
    </row>
    <row r="79" customFormat="false" ht="15" hidden="false" customHeight="false" outlineLevel="0" collapsed="false">
      <c r="A79" s="16" t="s">
        <v>103</v>
      </c>
      <c r="B79" s="17"/>
      <c r="C79" s="17"/>
      <c r="D79" s="17"/>
      <c r="E79" s="17"/>
    </row>
    <row r="80" customFormat="false" ht="15" hidden="false" customHeight="false" outlineLevel="0" collapsed="false">
      <c r="A80" s="19" t="s">
        <v>2</v>
      </c>
      <c r="B80" s="19" t="s">
        <v>3</v>
      </c>
      <c r="C80" s="19" t="s">
        <v>4</v>
      </c>
      <c r="D80" s="19" t="s">
        <v>5</v>
      </c>
      <c r="E80" s="19" t="s">
        <v>58</v>
      </c>
    </row>
    <row r="81" customFormat="false" ht="15" hidden="false" customHeight="false" outlineLevel="0" collapsed="false">
      <c r="A81" s="20" t="s">
        <v>104</v>
      </c>
      <c r="B81" s="22" t="n">
        <f aca="false">B5</f>
        <v>2616869</v>
      </c>
      <c r="C81" s="22" t="n">
        <f aca="false">B5</f>
        <v>2616869</v>
      </c>
      <c r="D81" s="22" t="n">
        <f aca="false">B5</f>
        <v>2616869</v>
      </c>
    </row>
    <row r="82" customFormat="false" ht="28.35" hidden="false" customHeight="false" outlineLevel="0" collapsed="false">
      <c r="A82" s="20" t="s">
        <v>105</v>
      </c>
      <c r="B82" s="22" t="n">
        <f aca="false">-C44</f>
        <v>-1141678.8</v>
      </c>
      <c r="C82" s="22" t="n">
        <f aca="false">-C45</f>
        <v>-1324552.5</v>
      </c>
      <c r="D82" s="22" t="n">
        <f aca="false">-C45</f>
        <v>-1324552.5</v>
      </c>
      <c r="E82" s="23" t="s">
        <v>106</v>
      </c>
    </row>
    <row r="83" customFormat="false" ht="15" hidden="false" customHeight="false" outlineLevel="0" collapsed="false">
      <c r="A83" s="20" t="s">
        <v>107</v>
      </c>
      <c r="B83" s="22" t="n">
        <f aca="false">B12</f>
        <v>208390.8</v>
      </c>
      <c r="C83" s="22" t="n">
        <f aca="false">C12</f>
        <v>250068.96</v>
      </c>
      <c r="D83" s="22" t="n">
        <f aca="false">D12</f>
        <v>277854.4</v>
      </c>
    </row>
    <row r="84" customFormat="false" ht="15" hidden="false" customHeight="false" outlineLevel="0" collapsed="false">
      <c r="A84" s="20" t="s">
        <v>108</v>
      </c>
      <c r="B84" s="22" t="n">
        <f aca="false">B15</f>
        <v>150000</v>
      </c>
      <c r="C84" s="22" t="n">
        <f aca="false">C15</f>
        <v>250000</v>
      </c>
      <c r="D84" s="22" t="n">
        <f aca="false">D15</f>
        <v>350000</v>
      </c>
    </row>
    <row r="85" customFormat="false" ht="28.35" hidden="false" customHeight="false" outlineLevel="0" collapsed="false">
      <c r="A85" s="20" t="s">
        <v>109</v>
      </c>
      <c r="B85" s="22" t="n">
        <f aca="false">$B$68*0.5</f>
        <v>408070</v>
      </c>
      <c r="C85" s="22" t="n">
        <f aca="false">$B$68*0.75</f>
        <v>612105</v>
      </c>
      <c r="D85" s="22" t="n">
        <f aca="false">$B$68*1</f>
        <v>816140</v>
      </c>
      <c r="E85" s="23" t="s">
        <v>110</v>
      </c>
    </row>
    <row r="86" customFormat="false" ht="15" hidden="false" customHeight="false" outlineLevel="0" collapsed="false">
      <c r="A86" s="20" t="s">
        <v>111</v>
      </c>
      <c r="B86" s="22" t="n">
        <f aca="false">$B$77*0</f>
        <v>0</v>
      </c>
      <c r="C86" s="22" t="n">
        <f aca="false">$B$77*0.5</f>
        <v>156976.927827775</v>
      </c>
      <c r="D86" s="22" t="n">
        <f aca="false">$B$77*1</f>
        <v>313953.85565555</v>
      </c>
      <c r="E86" s="23" t="s">
        <v>112</v>
      </c>
    </row>
    <row r="87" customFormat="false" ht="15" hidden="false" customHeight="false" outlineLevel="0" collapsed="false">
      <c r="A87" s="19" t="s">
        <v>113</v>
      </c>
      <c r="B87" s="26" t="n">
        <f aca="false">SUM(B82:B86)</f>
        <v>-375218</v>
      </c>
      <c r="C87" s="26" t="n">
        <f aca="false">SUM(C82:C86)</f>
        <v>-55401.6121722252</v>
      </c>
      <c r="D87" s="26" t="n">
        <f aca="false">SUM(D82:D86)</f>
        <v>433395.75565555</v>
      </c>
    </row>
    <row r="88" customFormat="false" ht="15" hidden="false" customHeight="false" outlineLevel="0" collapsed="false">
      <c r="A88" s="19" t="s">
        <v>114</v>
      </c>
      <c r="B88" s="33" t="n">
        <f aca="false">B81+B87</f>
        <v>2241651</v>
      </c>
      <c r="C88" s="33" t="n">
        <f aca="false">C81+C87</f>
        <v>2561467.38782778</v>
      </c>
      <c r="D88" s="33" t="n">
        <f aca="false">D81+D87</f>
        <v>3050264.75565555</v>
      </c>
    </row>
    <row r="89" customFormat="false" ht="15" hidden="false" customHeight="false" outlineLevel="0" collapsed="false">
      <c r="A89" s="20" t="s">
        <v>115</v>
      </c>
      <c r="B89" s="22" t="n">
        <f aca="false">B24</f>
        <v>2429683.866</v>
      </c>
      <c r="C89" s="22" t="n">
        <f aca="false">C24</f>
        <v>2761162.026</v>
      </c>
      <c r="D89" s="22" t="n">
        <f aca="false">D24</f>
        <v>3078747.466</v>
      </c>
    </row>
    <row r="90" customFormat="false" ht="15" hidden="false" customHeight="false" outlineLevel="0" collapsed="false">
      <c r="A90" s="19" t="s">
        <v>116</v>
      </c>
      <c r="B90" s="26" t="n">
        <f aca="false">B88-B89</f>
        <v>-188032.866</v>
      </c>
      <c r="C90" s="26" t="n">
        <f aca="false">C88-C89</f>
        <v>-199694.638172225</v>
      </c>
      <c r="D90" s="26" t="n">
        <f aca="false">D88-D89</f>
        <v>-28482.7103444506</v>
      </c>
    </row>
    <row r="92" customFormat="false" ht="15" hidden="false" customHeight="false" outlineLevel="0" collapsed="false">
      <c r="A92" s="16" t="s">
        <v>117</v>
      </c>
      <c r="B92" s="17"/>
      <c r="C92" s="17"/>
      <c r="D92" s="17"/>
      <c r="E92" s="17"/>
    </row>
    <row r="93" customFormat="false" ht="15" hidden="false" customHeight="false" outlineLevel="0" collapsed="false">
      <c r="A93" s="18" t="s">
        <v>118</v>
      </c>
      <c r="B93" s="22" t="n">
        <f aca="false">-1266*406</f>
        <v>-513996</v>
      </c>
      <c r="E93" s="23" t="s">
        <v>119</v>
      </c>
    </row>
    <row r="94" customFormat="false" ht="15" hidden="false" customHeight="false" outlineLevel="0" collapsed="false">
      <c r="A94" s="20" t="s">
        <v>120</v>
      </c>
      <c r="B94" s="21" t="n">
        <v>442677</v>
      </c>
      <c r="E94" s="20" t="s">
        <v>121</v>
      </c>
    </row>
    <row r="95" customFormat="false" ht="28.35" hidden="false" customHeight="false" outlineLevel="0" collapsed="false">
      <c r="A95" s="18" t="s">
        <v>122</v>
      </c>
      <c r="E95" s="23" t="s">
        <v>123</v>
      </c>
    </row>
    <row r="96" customFormat="false" ht="15" hidden="false" customHeight="false" outlineLevel="0" collapsed="false">
      <c r="A96" s="18" t="s">
        <v>124</v>
      </c>
    </row>
    <row r="97" customFormat="false" ht="15" hidden="false" customHeight="false" outlineLevel="0" collapsed="false">
      <c r="A97" s="20" t="s">
        <v>125</v>
      </c>
      <c r="B97" s="21" t="n">
        <v>225442</v>
      </c>
      <c r="E97" s="20" t="s">
        <v>126</v>
      </c>
    </row>
    <row r="98" customFormat="false" ht="15" hidden="false" customHeight="false" outlineLevel="0" collapsed="false">
      <c r="A98" s="18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2026-06-07T01:49:25Z</dcterms:created>
  <dc:creator>openpyxl</dc:creator>
  <dc:description/>
  <dc:language>en-US</dc:language>
  <cp:lastModifiedBy/>
  <dcterms:modified xsi:type="dcterms:W3CDTF">2026-08-30T17:52:06Z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