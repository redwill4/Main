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BITDAR Impac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<sst xmlns="http://schemas.openxmlformats.org/spreadsheetml/2006/main" count="100" uniqueCount="100">
  <si>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Cherrelyn — EBITDAR Impact Model  (MONTHLY)</t>
  </si>
  <si>
    <t xml:space="preserve">All figures are PER MONTH. Pro-forma monthly EBITDAR after dropping Part B respiratory (OPP-03), offset by overtime reduction (OPP-01/02) and by holding the skilled census already recovered. Yellow = inputs (editable); the rest auto-calculates.</t>
  </si>
  <si>
    <t xml:space="preserve">Medicaid case-mix capture is EXCLUDED — Colorado case-mix will not move the Medicaid rate for roughly two years, so it is not a 100-day lever.</t>
  </si>
  <si>
    <t xml:space="preserve">Driver</t>
  </si>
  <si>
    <t xml:space="preserve">Conservative</t>
  </si>
  <si>
    <t xml:space="preserve">Base</t>
  </si>
  <si>
    <t xml:space="preserve">Upside</t>
  </si>
  <si>
    <t xml:space="preserve">Notes / Assumptions</t>
  </si>
  <si>
    <t xml:space="preserve">Baseline EBITDAR — monthly</t>
  </si>
  <si>
    <t xml:space="preserve">TTM Mar25–Feb26 EBITDAR $2,616,869 ÷ 12.</t>
  </si>
  <si>
    <t xml:space="preserve">OPP-03   Discontinue Part B respiratory</t>
  </si>
  <si>
    <t xml:space="preserve">  Part B respiratory gross — monthly basis</t>
  </si>
  <si>
    <t xml:space="preserve">Conservative = Dec–Feb 3-month average. Base/Upside = Jan–Feb run-rate. TTM average was only $145,216/mo — see the monthly detail below.</t>
  </si>
  <si>
    <t xml:space="preserve">  Net realization % of gross</t>
  </si>
  <si>
    <t xml:space="preserve">Derived from the GL: Part B net ÷ gross. Stable at 42.3% (H1) and 42.1% (H2).</t>
  </si>
  <si>
    <t xml:space="preserve">  = Part B net revenue forgone / month</t>
  </si>
  <si>
    <t xml:space="preserve">  Respiratory Therapy dept labor — monthly</t>
  </si>
  <si>
    <t xml:space="preserve">GL 5113 annual $347,318 ÷ 12.</t>
  </si>
  <si>
    <t xml:space="preserve">  RT labor reduction % (redeploy/cut)</t>
  </si>
  <si>
    <t xml:space="preserve">Anchored to Part B = 72% of gross respiratory revenue.</t>
  </si>
  <si>
    <t xml:space="preserve">  = RT cost offset / month</t>
  </si>
  <si>
    <t xml:space="preserve">  OPP-03 net monthly EBITDAR impact</t>
  </si>
  <si>
    <t xml:space="preserve">OPP-01/02   Overtime reduction</t>
  </si>
  <si>
    <t xml:space="preserve">  Building overtime base — monthly</t>
  </si>
  <si>
    <t xml:space="preserve">GL: 24 department -1105 accounts, $1,355,761/yr. 11.5% of worked payroll; nursing subset 15.6%.</t>
  </si>
  <si>
    <t xml:space="preserve">  Overtime savings / month</t>
  </si>
  <si>
    <t xml:space="preserve">Building-wide. No agency account exists in the GL — overtime is how this building flexes.</t>
  </si>
  <si>
    <t xml:space="preserve">  as % of the monthly OT base</t>
  </si>
  <si>
    <t xml:space="preserve">Skilled mix — HOLD the census already recovered</t>
  </si>
  <si>
    <t xml:space="preserve">  Incremental skilled ADC vs the P&amp;L year</t>
  </si>
  <si>
    <t xml:space="preserve">Skilled ADC was 13.4 across the P&amp;L year and is 22.0 in 2026 Q1. Already achieved — the job is retention, not growth.</t>
  </si>
  <si>
    <t xml:space="preserve">  Share of that census held through the year</t>
  </si>
  <si>
    <t xml:space="preserve">  Rate differential vs Medicaid ($/day)</t>
  </si>
  <si>
    <t xml:space="preserve">UNCONFIRMED. P&amp;L ÷ census days implies $383 Medicare A vs $393 Medicaid. Confirm the Colorado rate sheet — this input drives the largest lever.</t>
  </si>
  <si>
    <t xml:space="preserve">  Contribution margin on incremental</t>
  </si>
  <si>
    <t xml:space="preserve">  = Skilled-mix monthly EBITDAR</t>
  </si>
  <si>
    <t xml:space="preserve">RESULT   (per month)</t>
  </si>
  <si>
    <t xml:space="preserve">  Total monthly EBITDAR change</t>
  </si>
  <si>
    <t xml:space="preserve">  PRO FORMA MONTHLY EBITDAR</t>
  </si>
  <si>
    <t xml:space="preserve">  vs. baseline month</t>
  </si>
  <si>
    <t xml:space="preserve">Only the Upside case is accretive to the current monthly run-rate.</t>
  </si>
  <si>
    <t xml:space="preserve">  Memo — annualized (×12), for rent/debt coverage only</t>
  </si>
  <si>
    <t xml:space="preserve">BREAK-EVEN CHECK   (per month)</t>
  </si>
  <si>
    <t xml:space="preserve">  Monthly EBITDAR per added skilled ADC</t>
  </si>
  <si>
    <t xml:space="preserve">  Skilled ADC needed to offset the Part B exit</t>
  </si>
  <si>
    <t xml:space="preserve">Net of the RT labor offset.</t>
  </si>
  <si>
    <t xml:space="preserve">  Skilled ADC already achieved</t>
  </si>
  <si>
    <t xml:space="preserve">  GAP (ADC)</t>
  </si>
  <si>
    <t xml:space="preserve">  GAP ($/month)</t>
  </si>
  <si>
    <t xml:space="preserve">What overtime reduction has to cover. Under the old TTM basis break-even was 5.1 ADC and this was covered twice over.</t>
  </si>
  <si>
    <t xml:space="preserve">MONTHLY DETAIL — Part B respiratory gross (GL 4543-0040)</t>
  </si>
  <si>
    <t xml:space="preserve">Month</t>
  </si>
  <si>
    <t xml:space="preserve">Gross</t>
  </si>
  <si>
    <t xml:space="preserve">Net @42.2%</t>
  </si>
  <si>
    <t xml:space="preserve">vs TTM avg</t>
  </si>
  <si>
    <t xml:space="preserve">  Mar 25</t>
  </si>
  <si>
    <t xml:space="preserve">  Apr 25</t>
  </si>
  <si>
    <t xml:space="preserve">  May 25</t>
  </si>
  <si>
    <t xml:space="preserve">  Jun 25</t>
  </si>
  <si>
    <t xml:space="preserve">  Jul 25</t>
  </si>
  <si>
    <t xml:space="preserve">  Aug 25</t>
  </si>
  <si>
    <t xml:space="preserve">  Sep 25</t>
  </si>
  <si>
    <t xml:space="preserve">  Oct 25</t>
  </si>
  <si>
    <t xml:space="preserve">  Nov 25</t>
  </si>
  <si>
    <t xml:space="preserve">  Dec 25</t>
  </si>
  <si>
    <t xml:space="preserve">  Jan 26</t>
  </si>
  <si>
    <t xml:space="preserve">  Feb 26</t>
  </si>
  <si>
    <t xml:space="preserve">  TOTAL (12 months)</t>
  </si>
  <si>
    <t xml:space="preserve">  TTM monthly average</t>
  </si>
  <si>
    <t xml:space="preserve">  Dec–Feb 3-month average</t>
  </si>
  <si>
    <t xml:space="preserve">  Jan–Feb run-rate</t>
  </si>
  <si>
    <t xml:space="preserve">  Growth, Sep 25 → Feb 26</t>
  </si>
  <si>
    <t xml:space="preserve">No corresponding change in census. Accelerating billing is also the pattern that draws a Medicare probe.</t>
  </si>
  <si>
    <t xml:space="preserve">SCOPE — respiratory is 59% of the Part B book</t>
  </si>
  <si>
    <t xml:space="preserve">  Part B gross / month — respiratory (4543-0040)</t>
  </si>
  <si>
    <t xml:space="preserve">  Part B gross / month — PT, OT, speech (4544/4545/4546-0040)</t>
  </si>
  <si>
    <t xml:space="preserve">  Total Part B gross / month</t>
  </si>
  <si>
    <t xml:space="preserve">  Therapy Part B net / month, at the same realization</t>
  </si>
  <si>
    <t xml:space="preserve">Additional exposure if the compliance decision covers Part B billing generally rather than respiratory specifically. Decide the scope before Day 1.</t>
  </si>
  <si>
    <t xml:space="preserve">RISKS TO THE BRIDGE   (per month)</t>
  </si>
  <si>
    <t xml:space="preserve">  Private-pay erosion</t>
  </si>
  <si>
    <t xml:space="preserve">Private days fell 4,795 (CY23) → 3,529 (TTM); 1,266 days at the $406 implied rate. Masked by Medicaid backfill.</t>
  </si>
  <si>
    <t xml:space="preserve">  Bad debt (5090-4999)</t>
  </si>
  <si>
    <t xml:space="preserve">1.8% of revenue.</t>
  </si>
  <si>
    <t xml:space="preserve">  Admin bonus pool (5110-1230)</t>
  </si>
  <si>
    <t xml:space="preserve">Re-point at overtime and skilled-mix targets.</t>
  </si>
  <si>
    <t xml:space="preserve">  Survey exposure — 2567 of 1/30/25, 5 tags, F880 infection control at E</t>
  </si>
  <si>
    <t xml:space="preserve">OVERDUE</t>
  </si>
  <si>
    <t xml:space="preserve">Recert is 19 months out against a 9–15 month cycle. An admissions hold hits the skilled census the bridge depends on.</t>
  </si>
  <si>
    <t xml:space="preserve">  Turnover conflict — profile 37.4% vs prior plan 61%</t>
  </si>
  <si>
    <t xml:space="preserve">RECONCILE</t>
  </si>
  <si>
    <t xml:space="preserve">37% is a scheduling problem; 61% is a retention problem. The overtime case rests on which.</t>
  </si>
  <si>
    <t xml:space="preserve">ASSUMPTIONS &amp; CAVEATS</t>
  </si>
  <si>
    <t xml:space="preserve">• All figures are monthly unless a row says otherwise. Row 28 is the only annualized line, for rent/debt coverage.</t>
  </si>
  <si>
    <t xml:space="preserve">• Medicaid case-mix capture is excluded: Colorado case-mix will not move the rate for ~2 years. Track it as an FY28 item, not a 100-day lever.</t>
  </si>
  <si>
    <t xml:space="preserve">• Part B respiratory gross is billed charges; EBITDAR moves with NET realized revenue (42.2%). Set row 8 to 100% to see the gross bound.</t>
  </si>
  <si>
    <t xml:space="preserve">• OPP-02 (nursing OT 15.6%) is a subset of OPP-01 (building OT 11.5%); savings entered once to avoid double-counting.</t>
  </si>
  <si>
    <t xml:space="preserve">• RT labor reduction is tied to Part B being 72% of gross respiratory revenue. Retained RT serves Part A residents and earns no separate revenue (bundled in PPS).</t>
  </si>
  <si>
    <t xml:space="preserve">• The $400 rate differential (row 21) is NOT corroborated by the P&amp;L and drives the largest lever. Confirm the Colorado rate sheet Day One.</t>
  </si>
  <si>
    <t xml:space="preserve">• Excludes one-time wind-down costs (RT severance) and assumes medically necessary respiratory care continues under bundled Part A billing.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</si>
</sst>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"/>
    <numFmt numFmtId="166" formatCode="0.0%"/>
    <numFmt numFmtId="167" formatCode="0.0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5" hidden="false" customHeight="false" outlineLevel="0" collapsed="false">
      <c r="A5" s="5" t="s">
        <v>8</v>
      </c>
      <c r="B5" s="6" t="n">
        <f aca="false">2616869/12</f>
        <v>218072.416666667</v>
      </c>
      <c r="C5" s="6" t="n">
        <f aca="false">2616869/12</f>
        <v>218072.416666667</v>
      </c>
      <c r="D5" s="6" t="n">
        <f aca="false">2616869/12</f>
        <v>218072.416666667</v>
      </c>
      <c r="E5" s="2" t="s">
        <v>9</v>
      </c>
    </row>
    <row r="6" customFormat="false" ht="15" hidden="false" customHeight="false" outlineLevel="0" collapsed="false">
      <c r="A6" s="7" t="s">
        <v>10</v>
      </c>
      <c r="B6" s="8"/>
      <c r="C6" s="8"/>
      <c r="D6" s="8"/>
      <c r="E6" s="8"/>
    </row>
    <row r="7" customFormat="false" ht="41.75" hidden="false" customHeight="false" outlineLevel="0" collapsed="false">
      <c r="A7" s="9" t="s">
        <v>11</v>
      </c>
      <c r="B7" s="10" t="n">
        <f aca="false">225450</f>
        <v>225450</v>
      </c>
      <c r="C7" s="10" t="n">
        <f aca="false">261562</f>
        <v>261562</v>
      </c>
      <c r="D7" s="10" t="n">
        <f aca="false">261562</f>
        <v>261562</v>
      </c>
      <c r="E7" s="2" t="s">
        <v>12</v>
      </c>
    </row>
    <row r="8" customFormat="false" ht="28.35" hidden="false" customHeight="false" outlineLevel="0" collapsed="false">
      <c r="A8" s="9" t="s">
        <v>13</v>
      </c>
      <c r="B8" s="11" t="n">
        <v>0.422</v>
      </c>
      <c r="C8" s="11" t="n">
        <v>0.422</v>
      </c>
      <c r="D8" s="11" t="n">
        <v>0.422</v>
      </c>
      <c r="E8" s="2" t="s">
        <v>14</v>
      </c>
    </row>
    <row r="9" customFormat="false" ht="15" hidden="false" customHeight="false" outlineLevel="0" collapsed="false">
      <c r="A9" s="9" t="s">
        <v>15</v>
      </c>
      <c r="B9" s="6" t="n">
        <f aca="false">-B7*B8</f>
        <v>-95139.9</v>
      </c>
      <c r="C9" s="6" t="n">
        <f aca="false">-C7*C8</f>
        <v>-110379.164</v>
      </c>
      <c r="D9" s="6" t="n">
        <f aca="false">-D7*D8</f>
        <v>-110379.164</v>
      </c>
    </row>
    <row r="10" customFormat="false" ht="15" hidden="false" customHeight="false" outlineLevel="0" collapsed="false">
      <c r="A10" s="9" t="s">
        <v>16</v>
      </c>
      <c r="B10" s="6" t="n">
        <f aca="false">347318/12</f>
        <v>28943.1666666667</v>
      </c>
      <c r="C10" s="6" t="n">
        <f aca="false">347318/12</f>
        <v>28943.1666666667</v>
      </c>
      <c r="D10" s="6" t="n">
        <f aca="false">347318/12</f>
        <v>28943.1666666667</v>
      </c>
      <c r="E10" s="2" t="s">
        <v>17</v>
      </c>
    </row>
    <row r="11" customFormat="false" ht="15" hidden="false" customHeight="false" outlineLevel="0" collapsed="false">
      <c r="A11" s="9" t="s">
        <v>18</v>
      </c>
      <c r="B11" s="11" t="n">
        <v>0.6</v>
      </c>
      <c r="C11" s="11" t="n">
        <v>0.72</v>
      </c>
      <c r="D11" s="11" t="n">
        <v>0.8</v>
      </c>
      <c r="E11" s="2" t="s">
        <v>19</v>
      </c>
    </row>
    <row r="12" customFormat="false" ht="15" hidden="false" customHeight="false" outlineLevel="0" collapsed="false">
      <c r="A12" s="9" t="s">
        <v>20</v>
      </c>
      <c r="B12" s="6" t="n">
        <f aca="false">B10*B11</f>
        <v>17365.9</v>
      </c>
      <c r="C12" s="6" t="n">
        <f aca="false">C10*C11</f>
        <v>20839.08</v>
      </c>
      <c r="D12" s="6" t="n">
        <f aca="false">D10*D11</f>
        <v>23154.5333333333</v>
      </c>
    </row>
    <row r="13" customFormat="false" ht="15" hidden="false" customHeight="false" outlineLevel="0" collapsed="false">
      <c r="A13" s="5" t="s">
        <v>21</v>
      </c>
      <c r="B13" s="12" t="n">
        <f aca="false">B9+B12</f>
        <v>-77774</v>
      </c>
      <c r="C13" s="12" t="n">
        <f aca="false">C9+C12</f>
        <v>-89540.084</v>
      </c>
      <c r="D13" s="12" t="n">
        <f aca="false">D9+D12</f>
        <v>-87224.6306666667</v>
      </c>
    </row>
    <row r="14" customFormat="false" ht="15" hidden="false" customHeight="false" outlineLevel="0" collapsed="false">
      <c r="A14" s="7" t="s">
        <v>22</v>
      </c>
      <c r="B14" s="8"/>
      <c r="C14" s="8"/>
      <c r="D14" s="8"/>
      <c r="E14" s="8"/>
    </row>
    <row r="15" customFormat="false" ht="28.35" hidden="false" customHeight="false" outlineLevel="0" collapsed="false">
      <c r="A15" s="9" t="s">
        <v>23</v>
      </c>
      <c r="B15" s="6" t="n">
        <f aca="false">1355761/12</f>
        <v>112980.083333333</v>
      </c>
      <c r="C15" s="6" t="n">
        <f aca="false">1355761/12</f>
        <v>112980.083333333</v>
      </c>
      <c r="D15" s="6" t="n">
        <f aca="false">1355761/12</f>
        <v>112980.083333333</v>
      </c>
      <c r="E15" s="2" t="s">
        <v>24</v>
      </c>
    </row>
    <row r="16" customFormat="false" ht="28.35" hidden="false" customHeight="false" outlineLevel="0" collapsed="false">
      <c r="A16" s="9" t="s">
        <v>25</v>
      </c>
      <c r="B16" s="10" t="n">
        <f aca="false">150000/12</f>
        <v>12500</v>
      </c>
      <c r="C16" s="10" t="n">
        <f aca="false">250000/12</f>
        <v>20833.3333333333</v>
      </c>
      <c r="D16" s="10" t="n">
        <f aca="false">350000/12</f>
        <v>29166.6666666667</v>
      </c>
      <c r="E16" s="2" t="s">
        <v>26</v>
      </c>
    </row>
    <row r="17" customFormat="false" ht="15" hidden="false" customHeight="false" outlineLevel="0" collapsed="false">
      <c r="A17" s="9" t="s">
        <v>27</v>
      </c>
      <c r="B17" s="13" t="n">
        <f aca="false">B16/B15</f>
        <v>0.110638969552893</v>
      </c>
      <c r="C17" s="13" t="n">
        <f aca="false">C16/C15</f>
        <v>0.184398282588155</v>
      </c>
      <c r="D17" s="13" t="n">
        <f aca="false">D16/D15</f>
        <v>0.258157595623417</v>
      </c>
    </row>
    <row r="18" customFormat="false" ht="15" hidden="false" customHeight="false" outlineLevel="0" collapsed="false">
      <c r="A18" s="7" t="s">
        <v>28</v>
      </c>
      <c r="B18" s="8"/>
      <c r="C18" s="8"/>
      <c r="D18" s="8"/>
      <c r="E18" s="8"/>
    </row>
    <row r="19" customFormat="false" ht="28.35" hidden="false" customHeight="false" outlineLevel="0" collapsed="false">
      <c r="A19" s="9" t="s">
        <v>29</v>
      </c>
      <c r="B19" s="14" t="n">
        <v>8.6</v>
      </c>
      <c r="C19" s="14" t="n">
        <v>8.6</v>
      </c>
      <c r="D19" s="14" t="n">
        <v>8.6</v>
      </c>
      <c r="E19" s="2" t="s">
        <v>30</v>
      </c>
    </row>
    <row r="20" customFormat="false" ht="15" hidden="false" customHeight="false" outlineLevel="0" collapsed="false">
      <c r="A20" s="9" t="s">
        <v>31</v>
      </c>
      <c r="B20" s="11" t="n">
        <v>0.5</v>
      </c>
      <c r="C20" s="11" t="n">
        <v>0.75</v>
      </c>
      <c r="D20" s="11" t="n">
        <v>1</v>
      </c>
    </row>
    <row r="21" customFormat="false" ht="41.75" hidden="false" customHeight="false" outlineLevel="0" collapsed="false">
      <c r="A21" s="9" t="s">
        <v>32</v>
      </c>
      <c r="B21" s="15" t="n">
        <v>400</v>
      </c>
      <c r="C21" s="15" t="n">
        <v>400</v>
      </c>
      <c r="D21" s="15" t="n">
        <v>400</v>
      </c>
      <c r="E21" s="2" t="s">
        <v>33</v>
      </c>
    </row>
    <row r="22" customFormat="false" ht="15" hidden="false" customHeight="false" outlineLevel="0" collapsed="false">
      <c r="A22" s="9" t="s">
        <v>34</v>
      </c>
      <c r="B22" s="11" t="n">
        <v>0.65</v>
      </c>
      <c r="C22" s="11" t="n">
        <v>0.65</v>
      </c>
      <c r="D22" s="11" t="n">
        <v>0.65</v>
      </c>
    </row>
    <row r="23" customFormat="false" ht="15" hidden="false" customHeight="false" outlineLevel="0" collapsed="false">
      <c r="A23" s="9" t="s">
        <v>35</v>
      </c>
      <c r="B23" s="6" t="n">
        <f aca="false">B19*B20*B21*(365/12)*B22</f>
        <v>34005.8333333333</v>
      </c>
      <c r="C23" s="6" t="n">
        <f aca="false">C19*C20*C21*(365/12)*C22</f>
        <v>51008.75</v>
      </c>
      <c r="D23" s="6" t="n">
        <f aca="false">D19*D20*D21*(365/12)*D22</f>
        <v>68011.6666666667</v>
      </c>
    </row>
    <row r="24" customFormat="false" ht="15" hidden="false" customHeight="false" outlineLevel="0" collapsed="false">
      <c r="A24" s="4" t="s">
        <v>36</v>
      </c>
      <c r="B24" s="16"/>
      <c r="C24" s="16"/>
      <c r="D24" s="16"/>
      <c r="E24" s="16"/>
    </row>
    <row r="25" customFormat="false" ht="15" hidden="false" customHeight="false" outlineLevel="0" collapsed="false">
      <c r="A25" s="5" t="s">
        <v>37</v>
      </c>
      <c r="B25" s="17" t="n">
        <f aca="false">B13+B16+B23</f>
        <v>-31268.1666666667</v>
      </c>
      <c r="C25" s="17" t="n">
        <f aca="false">C13+C16+C23</f>
        <v>-17698.0006666667</v>
      </c>
      <c r="D25" s="17" t="n">
        <f aca="false">D13+D16+D23</f>
        <v>9953.70266666669</v>
      </c>
    </row>
    <row r="26" customFormat="false" ht="15" hidden="false" customHeight="false" outlineLevel="0" collapsed="false">
      <c r="A26" s="5" t="s">
        <v>38</v>
      </c>
      <c r="B26" s="18" t="n">
        <f aca="false">B5+B25</f>
        <v>186804.25</v>
      </c>
      <c r="C26" s="18" t="n">
        <f aca="false">C5+C25</f>
        <v>200374.416</v>
      </c>
      <c r="D26" s="18" t="n">
        <f aca="false">D5+D25</f>
        <v>228026.119333333</v>
      </c>
    </row>
    <row r="27" customFormat="false" ht="15" hidden="false" customHeight="false" outlineLevel="0" collapsed="false">
      <c r="A27" s="5" t="s">
        <v>39</v>
      </c>
      <c r="B27" s="17" t="n">
        <f aca="false">B26-B5</f>
        <v>-31268.1666666667</v>
      </c>
      <c r="C27" s="17" t="n">
        <f aca="false">C26-C5</f>
        <v>-17698.0006666667</v>
      </c>
      <c r="D27" s="17" t="n">
        <f aca="false">D26-D5</f>
        <v>9953.70266666668</v>
      </c>
      <c r="E27" s="2" t="s">
        <v>40</v>
      </c>
    </row>
    <row r="28" customFormat="false" ht="15" hidden="false" customHeight="false" outlineLevel="0" collapsed="false">
      <c r="A28" s="9" t="s">
        <v>41</v>
      </c>
      <c r="B28" s="6" t="n">
        <f aca="false">B26*12</f>
        <v>2241651</v>
      </c>
      <c r="C28" s="6" t="n">
        <f aca="false">C26*12</f>
        <v>2404492.992</v>
      </c>
      <c r="D28" s="6" t="n">
        <f aca="false">D26*12</f>
        <v>2736313.432</v>
      </c>
    </row>
    <row r="29" customFormat="false" ht="15" hidden="false" customHeight="false" outlineLevel="0" collapsed="false">
      <c r="A29" s="4" t="s">
        <v>42</v>
      </c>
      <c r="B29" s="16"/>
      <c r="C29" s="16"/>
      <c r="D29" s="16"/>
      <c r="E29" s="16"/>
    </row>
    <row r="30" customFormat="false" ht="15" hidden="false" customHeight="false" outlineLevel="0" collapsed="false">
      <c r="A30" s="9" t="s">
        <v>43</v>
      </c>
      <c r="B30" s="6" t="n">
        <f aca="false">B21*(365/12)*B22</f>
        <v>7908.33333333333</v>
      </c>
      <c r="C30" s="6" t="n">
        <f aca="false">C21*(365/12)*C22</f>
        <v>7908.33333333333</v>
      </c>
      <c r="D30" s="6" t="n">
        <f aca="false">D21*(365/12)*D22</f>
        <v>7908.33333333333</v>
      </c>
    </row>
    <row r="31" customFormat="false" ht="15" hidden="false" customHeight="false" outlineLevel="0" collapsed="false">
      <c r="A31" s="5" t="s">
        <v>44</v>
      </c>
      <c r="B31" s="19" t="n">
        <f aca="false">-B13/B30</f>
        <v>9.83443624868282</v>
      </c>
      <c r="C31" s="19" t="n">
        <f aca="false">-C13/C30</f>
        <v>11.3222445521602</v>
      </c>
      <c r="D31" s="19" t="n">
        <f aca="false">-D13/D30</f>
        <v>11.0294580400421</v>
      </c>
      <c r="E31" s="2" t="s">
        <v>45</v>
      </c>
    </row>
    <row r="32" customFormat="false" ht="15" hidden="false" customHeight="false" outlineLevel="0" collapsed="false">
      <c r="A32" s="9" t="s">
        <v>46</v>
      </c>
      <c r="B32" s="20" t="n">
        <f aca="false">B19</f>
        <v>8.6</v>
      </c>
      <c r="C32" s="20" t="n">
        <f aca="false">C19</f>
        <v>8.6</v>
      </c>
      <c r="D32" s="20" t="n">
        <f aca="false">D19</f>
        <v>8.6</v>
      </c>
    </row>
    <row r="33" customFormat="false" ht="15" hidden="false" customHeight="false" outlineLevel="0" collapsed="false">
      <c r="A33" s="5" t="s">
        <v>47</v>
      </c>
      <c r="B33" s="21" t="n">
        <f aca="false">B32-B31</f>
        <v>-1.23443624868282</v>
      </c>
      <c r="C33" s="21" t="n">
        <f aca="false">C32-C31</f>
        <v>-2.72224455216017</v>
      </c>
      <c r="D33" s="21" t="n">
        <f aca="false">D32-D31</f>
        <v>-2.42945804004215</v>
      </c>
    </row>
    <row r="34" customFormat="false" ht="28.35" hidden="false" customHeight="false" outlineLevel="0" collapsed="false">
      <c r="A34" s="5" t="s">
        <v>48</v>
      </c>
      <c r="B34" s="12" t="n">
        <f aca="false">B33*B30</f>
        <v>-9762.33333333334</v>
      </c>
      <c r="C34" s="12" t="n">
        <f aca="false">C33*C30</f>
        <v>-21528.4173333333</v>
      </c>
      <c r="D34" s="12" t="n">
        <f aca="false">D33*D30</f>
        <v>-19212.964</v>
      </c>
      <c r="E34" s="2" t="s">
        <v>49</v>
      </c>
    </row>
    <row r="36" customFormat="false" ht="15" hidden="false" customHeight="false" outlineLevel="0" collapsed="false">
      <c r="A36" s="4" t="s">
        <v>50</v>
      </c>
      <c r="B36" s="16"/>
      <c r="C36" s="16"/>
      <c r="D36" s="16"/>
      <c r="E36" s="16"/>
    </row>
    <row r="37" customFormat="false" ht="15" hidden="false" customHeight="false" outlineLevel="0" collapsed="false">
      <c r="A37" s="5" t="s">
        <v>51</v>
      </c>
      <c r="B37" s="5" t="s">
        <v>52</v>
      </c>
      <c r="C37" s="5" t="s">
        <v>53</v>
      </c>
      <c r="D37" s="5" t="s">
        <v>54</v>
      </c>
    </row>
    <row r="38" customFormat="false" ht="15" hidden="false" customHeight="false" outlineLevel="0" collapsed="false">
      <c r="A38" s="9" t="s">
        <v>55</v>
      </c>
      <c r="B38" s="10" t="n">
        <v>137250</v>
      </c>
      <c r="C38" s="6" t="n">
        <f aca="false">B38*0.422</f>
        <v>57919.5</v>
      </c>
      <c r="D38" s="6" t="n">
        <f aca="false">B38-$B$51</f>
        <v>-7966.41666666666</v>
      </c>
    </row>
    <row r="39" customFormat="false" ht="15" hidden="false" customHeight="false" outlineLevel="0" collapsed="false">
      <c r="A39" s="9" t="s">
        <v>56</v>
      </c>
      <c r="B39" s="10" t="n">
        <v>132550</v>
      </c>
      <c r="C39" s="6" t="n">
        <f aca="false">B39*0.422</f>
        <v>55936.1</v>
      </c>
      <c r="D39" s="6" t="n">
        <f aca="false">B39-$B$51</f>
        <v>-12666.4166666667</v>
      </c>
    </row>
    <row r="40" customFormat="false" ht="15" hidden="false" customHeight="false" outlineLevel="0" collapsed="false">
      <c r="A40" s="9" t="s">
        <v>57</v>
      </c>
      <c r="B40" s="10" t="n">
        <v>115947</v>
      </c>
      <c r="C40" s="6" t="n">
        <f aca="false">B40*0.422</f>
        <v>48929.634</v>
      </c>
      <c r="D40" s="6" t="n">
        <f aca="false">B40-$B$51</f>
        <v>-29269.4166666667</v>
      </c>
    </row>
    <row r="41" customFormat="false" ht="15" hidden="false" customHeight="false" outlineLevel="0" collapsed="false">
      <c r="A41" s="9" t="s">
        <v>58</v>
      </c>
      <c r="B41" s="10" t="n">
        <v>101600</v>
      </c>
      <c r="C41" s="6" t="n">
        <f aca="false">B41*0.422</f>
        <v>42875.2</v>
      </c>
      <c r="D41" s="6" t="n">
        <f aca="false">B41-$B$51</f>
        <v>-43616.4166666667</v>
      </c>
    </row>
    <row r="42" customFormat="false" ht="15" hidden="false" customHeight="false" outlineLevel="0" collapsed="false">
      <c r="A42" s="9" t="s">
        <v>59</v>
      </c>
      <c r="B42" s="10" t="n">
        <v>124725</v>
      </c>
      <c r="C42" s="6" t="n">
        <f aca="false">B42*0.422</f>
        <v>52633.95</v>
      </c>
      <c r="D42" s="6" t="n">
        <f aca="false">B42-$B$51</f>
        <v>-20491.4166666667</v>
      </c>
    </row>
    <row r="43" customFormat="false" ht="15" hidden="false" customHeight="false" outlineLevel="0" collapsed="false">
      <c r="A43" s="9" t="s">
        <v>60</v>
      </c>
      <c r="B43" s="10" t="n">
        <v>98475</v>
      </c>
      <c r="C43" s="6" t="n">
        <f aca="false">B43*0.422</f>
        <v>41556.45</v>
      </c>
      <c r="D43" s="6" t="n">
        <f aca="false">B43-$B$51</f>
        <v>-46741.4166666667</v>
      </c>
    </row>
    <row r="44" customFormat="false" ht="15" hidden="false" customHeight="false" outlineLevel="0" collapsed="false">
      <c r="A44" s="9" t="s">
        <v>61</v>
      </c>
      <c r="B44" s="10" t="n">
        <v>93700</v>
      </c>
      <c r="C44" s="6" t="n">
        <f aca="false">B44*0.422</f>
        <v>39541.4</v>
      </c>
      <c r="D44" s="6" t="n">
        <f aca="false">B44-$B$51</f>
        <v>-51516.4166666667</v>
      </c>
    </row>
    <row r="45" customFormat="false" ht="15" hidden="false" customHeight="false" outlineLevel="0" collapsed="false">
      <c r="A45" s="9" t="s">
        <v>62</v>
      </c>
      <c r="B45" s="10" t="n">
        <v>122725</v>
      </c>
      <c r="C45" s="6" t="n">
        <f aca="false">B45*0.422</f>
        <v>51789.95</v>
      </c>
      <c r="D45" s="6" t="n">
        <f aca="false">B45-$B$51</f>
        <v>-22491.4166666667</v>
      </c>
    </row>
    <row r="46" customFormat="false" ht="15" hidden="false" customHeight="false" outlineLevel="0" collapsed="false">
      <c r="A46" s="9" t="s">
        <v>63</v>
      </c>
      <c r="B46" s="10" t="n">
        <v>139275</v>
      </c>
      <c r="C46" s="6" t="n">
        <f aca="false">B46*0.422</f>
        <v>58774.05</v>
      </c>
      <c r="D46" s="6" t="n">
        <f aca="false">B46-$B$51</f>
        <v>-5941.41666666666</v>
      </c>
    </row>
    <row r="47" customFormat="false" ht="15" hidden="false" customHeight="false" outlineLevel="0" collapsed="false">
      <c r="A47" s="9" t="s">
        <v>64</v>
      </c>
      <c r="B47" s="10" t="n">
        <v>153225</v>
      </c>
      <c r="C47" s="6" t="n">
        <f aca="false">B47*0.422</f>
        <v>64660.95</v>
      </c>
      <c r="D47" s="6" t="n">
        <f aca="false">B47-$B$51</f>
        <v>8008.58333333334</v>
      </c>
    </row>
    <row r="48" customFormat="false" ht="15" hidden="false" customHeight="false" outlineLevel="0" collapsed="false">
      <c r="A48" s="9" t="s">
        <v>65</v>
      </c>
      <c r="B48" s="10" t="n">
        <v>238350</v>
      </c>
      <c r="C48" s="6" t="n">
        <f aca="false">B48*0.422</f>
        <v>100583.7</v>
      </c>
      <c r="D48" s="6" t="n">
        <f aca="false">B48-$B$51</f>
        <v>93133.5833333333</v>
      </c>
    </row>
    <row r="49" customFormat="false" ht="15" hidden="false" customHeight="false" outlineLevel="0" collapsed="false">
      <c r="A49" s="9" t="s">
        <v>66</v>
      </c>
      <c r="B49" s="10" t="n">
        <v>284775</v>
      </c>
      <c r="C49" s="6" t="n">
        <f aca="false">B49*0.422</f>
        <v>120175.05</v>
      </c>
      <c r="D49" s="6" t="n">
        <f aca="false">B49-$B$51</f>
        <v>139558.583333333</v>
      </c>
    </row>
    <row r="50" customFormat="false" ht="15" hidden="false" customHeight="false" outlineLevel="0" collapsed="false">
      <c r="A50" s="5" t="s">
        <v>67</v>
      </c>
      <c r="B50" s="17" t="n">
        <f aca="false">SUM(B38:B49)</f>
        <v>1742597</v>
      </c>
      <c r="C50" s="17" t="n">
        <f aca="false">B50*0.422</f>
        <v>735375.934</v>
      </c>
    </row>
    <row r="51" customFormat="false" ht="15" hidden="false" customHeight="false" outlineLevel="0" collapsed="false">
      <c r="A51" s="5" t="s">
        <v>68</v>
      </c>
      <c r="B51" s="17" t="n">
        <f aca="false">B50/12</f>
        <v>145216.416666667</v>
      </c>
      <c r="C51" s="17" t="n">
        <f aca="false">B51*0.422</f>
        <v>61281.3278333333</v>
      </c>
    </row>
    <row r="52" customFormat="false" ht="15" hidden="false" customHeight="false" outlineLevel="0" collapsed="false">
      <c r="A52" s="9" t="s">
        <v>69</v>
      </c>
      <c r="B52" s="6" t="n">
        <f aca="false">AVERAGE(B47:B49)</f>
        <v>225450</v>
      </c>
      <c r="C52" s="6" t="n">
        <f aca="false">B52*0.422</f>
        <v>95139.9</v>
      </c>
    </row>
    <row r="53" customFormat="false" ht="15" hidden="false" customHeight="false" outlineLevel="0" collapsed="false">
      <c r="A53" s="5" t="s">
        <v>70</v>
      </c>
      <c r="B53" s="12" t="n">
        <f aca="false">AVERAGE(B48:B49)</f>
        <v>261562.5</v>
      </c>
      <c r="C53" s="12" t="n">
        <f aca="false">B53*0.422</f>
        <v>110379.375</v>
      </c>
    </row>
    <row r="54" customFormat="false" ht="28.35" hidden="false" customHeight="false" outlineLevel="0" collapsed="false">
      <c r="A54" s="9" t="s">
        <v>71</v>
      </c>
      <c r="B54" s="13" t="n">
        <f aca="false">B49/B44-1</f>
        <v>2.03922091782284</v>
      </c>
      <c r="E54" s="2" t="s">
        <v>72</v>
      </c>
    </row>
    <row r="56" customFormat="false" ht="15" hidden="false" customHeight="false" outlineLevel="0" collapsed="false">
      <c r="A56" s="4" t="s">
        <v>73</v>
      </c>
      <c r="B56" s="16"/>
      <c r="C56" s="16"/>
      <c r="D56" s="16"/>
      <c r="E56" s="16"/>
    </row>
    <row r="57" customFormat="false" ht="15" hidden="false" customHeight="false" outlineLevel="0" collapsed="false">
      <c r="A57" s="9" t="s">
        <v>74</v>
      </c>
      <c r="B57" s="6" t="n">
        <f aca="false">1742597/12</f>
        <v>145216.416666667</v>
      </c>
      <c r="C57" s="13" t="n">
        <f aca="false">B57/$B$59</f>
        <v>0.592521150212497</v>
      </c>
    </row>
    <row r="58" customFormat="false" ht="15" hidden="false" customHeight="false" outlineLevel="0" collapsed="false">
      <c r="A58" s="9" t="s">
        <v>75</v>
      </c>
      <c r="B58" s="6" t="n">
        <f aca="false">1198390/12</f>
        <v>99865.8333333333</v>
      </c>
      <c r="C58" s="13" t="n">
        <f aca="false">B58/$B$59</f>
        <v>0.407478849787503</v>
      </c>
    </row>
    <row r="59" customFormat="false" ht="15" hidden="false" customHeight="false" outlineLevel="0" collapsed="false">
      <c r="A59" s="5" t="s">
        <v>76</v>
      </c>
      <c r="B59" s="17" t="n">
        <f aca="false">B57+B58</f>
        <v>245082.25</v>
      </c>
    </row>
    <row r="60" customFormat="false" ht="41.75" hidden="false" customHeight="false" outlineLevel="0" collapsed="false">
      <c r="A60" s="9" t="s">
        <v>77</v>
      </c>
      <c r="B60" s="6" t="n">
        <f aca="false">B58*0.422</f>
        <v>42143.3816666667</v>
      </c>
      <c r="E60" s="2" t="s">
        <v>78</v>
      </c>
    </row>
    <row r="62" customFormat="false" ht="15" hidden="false" customHeight="false" outlineLevel="0" collapsed="false">
      <c r="A62" s="4" t="s">
        <v>79</v>
      </c>
      <c r="B62" s="16"/>
      <c r="C62" s="16"/>
      <c r="D62" s="16"/>
      <c r="E62" s="16"/>
    </row>
    <row r="63" customFormat="false" ht="28.35" hidden="false" customHeight="false" outlineLevel="0" collapsed="false">
      <c r="A63" s="9" t="s">
        <v>80</v>
      </c>
      <c r="B63" s="6" t="n">
        <f aca="false">-514274/12</f>
        <v>-42856.1666666667</v>
      </c>
      <c r="E63" s="2" t="s">
        <v>81</v>
      </c>
    </row>
    <row r="64" customFormat="false" ht="15" hidden="false" customHeight="false" outlineLevel="0" collapsed="false">
      <c r="A64" s="9" t="s">
        <v>82</v>
      </c>
      <c r="B64" s="6" t="n">
        <f aca="false">-442677/12</f>
        <v>-36889.75</v>
      </c>
      <c r="E64" s="2" t="s">
        <v>83</v>
      </c>
    </row>
    <row r="65" customFormat="false" ht="15" hidden="false" customHeight="false" outlineLevel="0" collapsed="false">
      <c r="A65" s="9" t="s">
        <v>84</v>
      </c>
      <c r="B65" s="6" t="n">
        <f aca="false">225442/12</f>
        <v>18786.8333333333</v>
      </c>
      <c r="E65" s="2" t="s">
        <v>85</v>
      </c>
    </row>
    <row r="66" customFormat="false" ht="28.35" hidden="false" customHeight="false" outlineLevel="0" collapsed="false">
      <c r="A66" s="9" t="s">
        <v>86</v>
      </c>
      <c r="B66" s="22" t="s">
        <v>87</v>
      </c>
      <c r="E66" s="2" t="s">
        <v>88</v>
      </c>
    </row>
    <row r="67" customFormat="false" ht="28.35" hidden="false" customHeight="false" outlineLevel="0" collapsed="false">
      <c r="A67" s="9" t="s">
        <v>89</v>
      </c>
      <c r="B67" s="22" t="s">
        <v>90</v>
      </c>
      <c r="E67" s="2" t="s">
        <v>91</v>
      </c>
    </row>
    <row r="69" customFormat="false" ht="15" hidden="false" customHeight="false" outlineLevel="0" collapsed="false">
      <c r="A69" s="4" t="s">
        <v>92</v>
      </c>
      <c r="B69" s="16"/>
      <c r="C69" s="16"/>
      <c r="D69" s="16"/>
      <c r="E69" s="16"/>
    </row>
    <row r="70" customFormat="false" ht="41.75" hidden="false" customHeight="false" outlineLevel="0" collapsed="false">
      <c r="A70" s="2" t="s">
        <v>93</v>
      </c>
    </row>
    <row r="71" customFormat="false" ht="41.75" hidden="false" customHeight="false" outlineLevel="0" collapsed="false">
      <c r="A71" s="2" t="s">
        <v>94</v>
      </c>
    </row>
    <row r="72" customFormat="false" ht="41.75" hidden="false" customHeight="false" outlineLevel="0" collapsed="false">
      <c r="A72" s="2" t="s">
        <v>95</v>
      </c>
    </row>
    <row r="73" customFormat="false" ht="41.75" hidden="false" customHeight="false" outlineLevel="0" collapsed="false">
      <c r="A73" s="2" t="s">
        <v>96</v>
      </c>
    </row>
    <row r="74" customFormat="false" ht="55.2" hidden="false" customHeight="false" outlineLevel="0" collapsed="false">
      <c r="A74" s="2" t="s">
        <v>97</v>
      </c>
    </row>
    <row r="75" customFormat="false" ht="41.75" hidden="false" customHeight="false" outlineLevel="0" collapsed="false">
      <c r="A75" s="2" t="s">
        <v>98</v>
      </c>
    </row>
    <row r="76" customFormat="false" ht="41.75" hidden="false" customHeight="false" outlineLevel="0" collapsed="false">
      <c r="A76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2026-08-30T19:02:24Z</dcterms:created>
  <dc:creator>openpyxl</dc:creator>
  <dc:description/>
  <dc:language>en-US</dc:language>
  <cp:lastModifiedBy/>
  <dcterms:modified xsi:type="dcterms:W3CDTF">2026-08-30T19:02:24Z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